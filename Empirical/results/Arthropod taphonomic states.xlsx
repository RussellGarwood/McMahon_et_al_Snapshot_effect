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phonomic state" sheetId="1" state="visible" r:id="rId3"/>
    <sheet name="Preservational sta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<sst xmlns="http://schemas.openxmlformats.org/spreadsheetml/2006/main" count="99" uniqueCount="65">
  <si>
    <t xml:space="preserve">GOOD PRESERVATION</t>
  </si>
  <si>
    <t xml:space="preserve">BAD PRESERVATION</t>
  </si>
  <si>
    <t xml:space="preserve">Taxon</t>
  </si>
  <si>
    <t xml:space="preserve"># in State 5</t>
  </si>
  <si>
    <t xml:space="preserve"># in State 4</t>
  </si>
  <si>
    <t xml:space="preserve"># in State 3</t>
  </si>
  <si>
    <t xml:space="preserve"># in State 2</t>
  </si>
  <si>
    <t xml:space="preserve"># in State 1</t>
  </si>
  <si>
    <t xml:space="preserve">count</t>
  </si>
  <si>
    <t xml:space="preserve">Bivalved</t>
  </si>
  <si>
    <t xml:space="preserve">Isoxys</t>
  </si>
  <si>
    <t xml:space="preserve">Thin carapace, spines were sclerotized</t>
  </si>
  <si>
    <t xml:space="preserve">arthropods</t>
  </si>
  <si>
    <t xml:space="preserve">Pauloterminus</t>
  </si>
  <si>
    <t xml:space="preserve">Segmented</t>
  </si>
  <si>
    <t xml:space="preserve">Buenellus</t>
  </si>
  <si>
    <t xml:space="preserve">Calcified</t>
  </si>
  <si>
    <t xml:space="preserve">multipodus</t>
  </si>
  <si>
    <t xml:space="preserve">Kiisortoqia</t>
  </si>
  <si>
    <t xml:space="preserve">Weakly sclerotized</t>
  </si>
  <si>
    <t xml:space="preserve">Arthroaspis</t>
  </si>
  <si>
    <t xml:space="preserve">Sclerotized in some parts</t>
  </si>
  <si>
    <t xml:space="preserve">https://link.springer.com/article/10.1186/1471-2148-13-99#Fig7</t>
  </si>
  <si>
    <t xml:space="preserve">Buenaspis</t>
  </si>
  <si>
    <t xml:space="preserve">"Soft bodied trilobite"</t>
  </si>
  <si>
    <t xml:space="preserve">Molaria</t>
  </si>
  <si>
    <t xml:space="preserve">No notes - but see Peel below</t>
  </si>
  <si>
    <t xml:space="preserve">Campanamuta</t>
  </si>
  <si>
    <t xml:space="preserve">No notes</t>
  </si>
  <si>
    <t xml:space="preserve">Kleptothule</t>
  </si>
  <si>
    <t xml:space="preserve">"Some evidence... lightly mineralised"</t>
  </si>
  <si>
    <t xml:space="preserve">Unidentified</t>
  </si>
  <si>
    <t xml:space="preserve">Arthropoda sp.</t>
  </si>
  <si>
    <t xml:space="preserve">Total specimens =</t>
  </si>
  <si>
    <t xml:space="preserve">Total biomineralizing (from identified taxa) =</t>
  </si>
  <si>
    <t xml:space="preserve">Total non-biomineralizing (from identified taxa) =</t>
  </si>
  <si>
    <t xml:space="preserve">Total non-biomineralizing (including unidentified taxa)</t>
  </si>
  <si>
    <t xml:space="preserve">Total non-biomineralizing in each state</t>
  </si>
  <si>
    <t xml:space="preserve">Comments</t>
  </si>
  <si>
    <t xml:space="preserve">Babcock &amp; Peel</t>
  </si>
  <si>
    <t xml:space="preserve">Buenellus is one of the most common faunal elements at Sirius Passet.</t>
  </si>
  <si>
    <t xml:space="preserve">"Isolated sclerites are rare in the MGUH collection due to selective collecting"</t>
  </si>
  <si>
    <t xml:space="preserve">Stein 2010</t>
  </si>
  <si>
    <t xml:space="preserve">Kiisortoqia was sclerotized, but "sclerotizaton seems to have been comparatively weak"</t>
  </si>
  <si>
    <t xml:space="preserve">Vannier and Chen 2000</t>
  </si>
  <si>
    <t xml:space="preserve">Isoxys had a 'thin carapace" and spiny processes that were "most probable sclerotized"</t>
  </si>
  <si>
    <t xml:space="preserve">Taylor 2003</t>
  </si>
  <si>
    <t xml:space="preserve">Pauloterminus: of 66 available specimens, 55 were "well preserved".</t>
  </si>
  <si>
    <t xml:space="preserve">Budd 2003</t>
  </si>
  <si>
    <t xml:space="preserve">Beunaspis is referred to the nektaspis or "soft-bodied trilobites"</t>
  </si>
  <si>
    <t xml:space="preserve">Budd 2011</t>
  </si>
  <si>
    <t xml:space="preserve">Campanamuta is definitely not calcified</t>
  </si>
  <si>
    <t xml:space="preserve">Budd 2011b</t>
  </si>
  <si>
    <t xml:space="preserve">Kleptohule: "There is some evidence that the exoskeleton was lightly mineralised"</t>
  </si>
  <si>
    <t xml:space="preserve">Peel 2017</t>
  </si>
  <si>
    <t xml:space="preserve">Sirius Passet</t>
  </si>
  <si>
    <t xml:space="preserve">taxa with originally calcareous exoskeletons often retain</t>
  </si>
  <si>
    <t xml:space="preserve">high relief, the latter including the trilobite Buenellus</t>
  </si>
  <si>
    <t xml:space="preserve">higginsi Blaker, 1988, the armoured Halkieria evangelista</t>
  </si>
  <si>
    <t xml:space="preserve">Conway Morris &amp; Peel, 1995 and hyoliths (Peel 2010), as</t>
  </si>
  <si>
    <t xml:space="preserve">well as individual spicules from the diverse assemblage of</t>
  </si>
  <si>
    <t xml:space="preserve">sponges (Botting et al. 2015, Botting &amp; Peel 2016)</t>
  </si>
  <si>
    <t xml:space="preserve">Count</t>
  </si>
  <si>
    <t xml:space="preserve">branchiopods</t>
  </si>
  <si>
    <t xml:space="preserve">Total non-biomineralizing in each state, excluding Isoxys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</si>
</sst>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i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4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5CD"/>
      </patternFill>
    </fill>
    <fill>
      <patternFill patternType="solid">
        <fgColor rgb="FFFCE5CD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ink.springer.com/article/10.1186/1471-2148-13-99" TargetMode="External"/><Relationship Id="rId2" Type="http://schemas.openxmlformats.org/officeDocument/2006/relationships/hyperlink" Target="https://search.informit.org/doi/pdf/10.3316/informit.219894361622173" TargetMode="External"/><Relationship Id="rId3" Type="http://schemas.openxmlformats.org/officeDocument/2006/relationships/hyperlink" Target="https://academic.oup.com/zoolinnean/article/158/3/477/3798454" TargetMode="External"/><Relationship Id="rId4" Type="http://schemas.openxmlformats.org/officeDocument/2006/relationships/hyperlink" Target="https://onlinelibrary.wiley.com/doi/pdf/10.1080/002411600750053862" TargetMode="External"/><Relationship Id="rId5" Type="http://schemas.openxmlformats.org/officeDocument/2006/relationships/hyperlink" Target="https://doi.org/10.1111/1475-4983.00229" TargetMode="External"/><Relationship Id="rId6" Type="http://schemas.openxmlformats.org/officeDocument/2006/relationships/hyperlink" Target="https://d1wqtxts1xzle7.cloudfront.net/51044390/A_nektaspid_arthropod_from_the_Early_Cam20161224-10339-jclwlu-libre.pdf?1482613566=&amp;response-content-disposition=inline%3B+filename%3DA_nektaspid_arthropod_from_the_Early_Cam.pdf&amp;Expires=1745330999&amp;Signature=" TargetMode="External"/><Relationship Id="rId7" Type="http://schemas.openxmlformats.org/officeDocument/2006/relationships/hyperlink" Target="https://www.tandfonline.com/doi/full/10.1080/14772019.2010.492644" TargetMode="External"/><Relationship Id="rId8" Type="http://schemas.openxmlformats.org/officeDocument/2006/relationships/hyperlink" Target="https://www.cambridge.org/core/journals/earth-and-environmental-science-transactions-of-royal-society-of-edinburgh/article/abs/kleptothule-rasmusseni-gen-et-sp-nov-an-olenellinidlike-trilobite-from-the-sirius-passet-fauna-buen-formation-lower-cambrian-nor" TargetMode="External"/><Relationship Id="rId9" Type="http://schemas.openxmlformats.org/officeDocument/2006/relationships/hyperlink" Target="http://www.geology.cz/bulletin/fulltext/1658_Peel_170803.pd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ink.springer.com/article/10.1186/1471-2148-13-9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51"/>
    <col collapsed="false" customWidth="true" hidden="false" outlineLevel="0" max="8" min="8" style="0" width="9.25"/>
  </cols>
  <sheetData>
    <row r="3" customFormat="false" ht="16.5" hidden="false" customHeight="true" outlineLevel="0" collapsed="false">
      <c r="C3" s="1" t="s">
        <v>0</v>
      </c>
      <c r="G3" s="2" t="s">
        <v>1</v>
      </c>
    </row>
    <row r="4" customFormat="false" ht="15.75" hidden="false" customHeight="false" outlineLevel="0" collapsed="false">
      <c r="B4" s="1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1" t="s">
        <v>8</v>
      </c>
      <c r="I4" s="4"/>
    </row>
    <row r="6" customFormat="false" ht="15.75" hidden="false" customHeight="false" outlineLevel="0" collapsed="false">
      <c r="A6" s="2" t="s">
        <v>9</v>
      </c>
      <c r="B6" s="5" t="s">
        <v>10</v>
      </c>
      <c r="C6" s="6" t="n">
        <v>47</v>
      </c>
      <c r="D6" s="6" t="n">
        <v>1</v>
      </c>
      <c r="E6" s="6" t="n">
        <v>0</v>
      </c>
      <c r="F6" s="6" t="n">
        <v>0</v>
      </c>
      <c r="G6" s="6" t="n">
        <v>0</v>
      </c>
      <c r="H6" s="7" t="n">
        <f aca="false">SUM(C6:G6)</f>
        <v>48</v>
      </c>
      <c r="I6" s="6" t="s">
        <v>11</v>
      </c>
    </row>
    <row r="7" customFormat="false" ht="15.75" hidden="false" customHeight="false" outlineLevel="0" collapsed="false">
      <c r="A7" s="2" t="s">
        <v>12</v>
      </c>
      <c r="B7" s="5" t="s">
        <v>13</v>
      </c>
      <c r="C7" s="6" t="n">
        <v>3</v>
      </c>
      <c r="D7" s="6" t="n">
        <v>0</v>
      </c>
      <c r="E7" s="6" t="n">
        <v>0</v>
      </c>
      <c r="F7" s="6" t="n">
        <v>0</v>
      </c>
      <c r="G7" s="6" t="n">
        <v>0</v>
      </c>
      <c r="H7" s="7" t="n">
        <f aca="false">SUM(C7:G7)</f>
        <v>3</v>
      </c>
    </row>
    <row r="8" customFormat="false" ht="15.75" hidden="false" customHeight="false" outlineLevel="0" collapsed="false">
      <c r="A8" s="2"/>
      <c r="B8" s="8"/>
    </row>
    <row r="9" customFormat="false" ht="15.75" hidden="false" customHeight="false" outlineLevel="0" collapsed="false">
      <c r="A9" s="9" t="s">
        <v>14</v>
      </c>
      <c r="B9" s="10" t="s">
        <v>15</v>
      </c>
      <c r="C9" s="11" t="n">
        <v>11</v>
      </c>
      <c r="D9" s="11" t="n">
        <v>2</v>
      </c>
      <c r="E9" s="11" t="n">
        <v>2</v>
      </c>
      <c r="F9" s="11" t="n">
        <v>0</v>
      </c>
      <c r="G9" s="11" t="n">
        <v>5</v>
      </c>
      <c r="H9" s="12" t="n">
        <f aca="false">SUM(C9:G9)</f>
        <v>20</v>
      </c>
      <c r="I9" s="11" t="s">
        <v>16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.75" hidden="false" customHeight="false" outlineLevel="0" collapsed="false">
      <c r="A10" s="2" t="s">
        <v>17</v>
      </c>
      <c r="B10" s="5" t="s">
        <v>18</v>
      </c>
      <c r="C10" s="6" t="n">
        <v>2</v>
      </c>
      <c r="D10" s="6" t="n">
        <v>1</v>
      </c>
      <c r="E10" s="6" t="n">
        <v>0</v>
      </c>
      <c r="F10" s="6" t="n">
        <v>0</v>
      </c>
      <c r="G10" s="6" t="n">
        <v>0</v>
      </c>
      <c r="H10" s="7" t="n">
        <f aca="false">SUM(C10:G10)</f>
        <v>3</v>
      </c>
      <c r="I10" s="6" t="s">
        <v>19</v>
      </c>
    </row>
    <row r="11" customFormat="false" ht="16.15" hidden="false" customHeight="false" outlineLevel="0" collapsed="false">
      <c r="A11" s="2" t="s">
        <v>12</v>
      </c>
      <c r="B11" s="5" t="s">
        <v>20</v>
      </c>
      <c r="C11" s="6" t="n">
        <v>6</v>
      </c>
      <c r="D11" s="6" t="n">
        <v>0</v>
      </c>
      <c r="E11" s="6" t="n">
        <v>0</v>
      </c>
      <c r="F11" s="6" t="n">
        <v>0</v>
      </c>
      <c r="G11" s="6" t="n">
        <v>0</v>
      </c>
      <c r="H11" s="7" t="n">
        <f aca="false">SUM(C11:G11)</f>
        <v>6</v>
      </c>
      <c r="I11" s="6" t="s">
        <v>21</v>
      </c>
      <c r="K11" s="13" t="s">
        <v>22</v>
      </c>
    </row>
    <row r="12" customFormat="false" ht="15.75" hidden="false" customHeight="false" outlineLevel="0" collapsed="false">
      <c r="A12" s="2"/>
      <c r="B12" s="5" t="s">
        <v>23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7" t="n">
        <f aca="false">SUM(C12:G12)</f>
        <v>2</v>
      </c>
      <c r="I12" s="6" t="s">
        <v>24</v>
      </c>
    </row>
    <row r="13" customFormat="false" ht="15.75" hidden="false" customHeight="false" outlineLevel="0" collapsed="false">
      <c r="A13" s="2"/>
      <c r="B13" s="5" t="s">
        <v>25</v>
      </c>
      <c r="C13" s="6" t="n">
        <v>4</v>
      </c>
      <c r="D13" s="6" t="n">
        <v>0</v>
      </c>
      <c r="E13" s="6" t="n">
        <v>0</v>
      </c>
      <c r="F13" s="6" t="n">
        <v>0</v>
      </c>
      <c r="G13" s="6" t="n">
        <v>0</v>
      </c>
      <c r="H13" s="7" t="n">
        <f aca="false">SUM(C13:G13)</f>
        <v>4</v>
      </c>
      <c r="I13" s="6" t="s">
        <v>26</v>
      </c>
    </row>
    <row r="14" customFormat="false" ht="15.75" hidden="false" customHeight="false" outlineLevel="0" collapsed="false">
      <c r="A14" s="2"/>
      <c r="B14" s="5" t="s">
        <v>27</v>
      </c>
      <c r="C14" s="6" t="n">
        <v>7</v>
      </c>
      <c r="D14" s="6" t="n">
        <v>0</v>
      </c>
      <c r="E14" s="6" t="n">
        <v>0</v>
      </c>
      <c r="F14" s="6" t="n">
        <v>0</v>
      </c>
      <c r="G14" s="6" t="n">
        <v>0</v>
      </c>
      <c r="H14" s="7" t="n">
        <f aca="false">SUM(C14:G14)</f>
        <v>7</v>
      </c>
      <c r="I14" s="6" t="s">
        <v>28</v>
      </c>
    </row>
    <row r="15" customFormat="false" ht="15.75" hidden="false" customHeight="false" outlineLevel="0" collapsed="false">
      <c r="A15" s="2"/>
      <c r="B15" s="5" t="s">
        <v>29</v>
      </c>
      <c r="C15" s="6" t="n">
        <v>2</v>
      </c>
      <c r="D15" s="6" t="n">
        <v>0</v>
      </c>
      <c r="E15" s="6" t="n">
        <v>0</v>
      </c>
      <c r="F15" s="6" t="n">
        <v>0</v>
      </c>
      <c r="G15" s="6" t="n">
        <v>0</v>
      </c>
      <c r="H15" s="7" t="n">
        <f aca="false">SUM(C15:G15)</f>
        <v>2</v>
      </c>
      <c r="I15" s="6" t="s">
        <v>30</v>
      </c>
      <c r="L15" s="7" t="n">
        <f aca="false">SUM(H10:H15)</f>
        <v>24</v>
      </c>
    </row>
    <row r="16" customFormat="false" ht="15.75" hidden="false" customHeight="false" outlineLevel="0" collapsed="false">
      <c r="A16" s="2"/>
      <c r="B16" s="8"/>
    </row>
    <row r="17" customFormat="false" ht="15.75" hidden="false" customHeight="false" outlineLevel="0" collapsed="false">
      <c r="A17" s="2" t="s">
        <v>31</v>
      </c>
      <c r="B17" s="5" t="s">
        <v>32</v>
      </c>
      <c r="C17" s="6" t="n">
        <v>7</v>
      </c>
      <c r="D17" s="6" t="n">
        <v>0</v>
      </c>
      <c r="E17" s="6" t="n">
        <v>0</v>
      </c>
      <c r="F17" s="6" t="n">
        <v>0</v>
      </c>
      <c r="G17" s="6" t="n">
        <v>0</v>
      </c>
    </row>
    <row r="18" customFormat="false" ht="15.75" hidden="false" customHeight="fals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7.35" hidden="false" customHeight="false" outlineLevel="0" collapsed="false">
      <c r="E19" s="15"/>
      <c r="F19" s="15"/>
      <c r="G19" s="16" t="s">
        <v>33</v>
      </c>
      <c r="H19" s="17" t="n">
        <f aca="false">SUM(C6:G17)</f>
        <v>102</v>
      </c>
      <c r="I19" s="1"/>
      <c r="J19" s="1"/>
    </row>
    <row r="20" customFormat="false" ht="17.35" hidden="false" customHeight="false" outlineLevel="0" collapsed="false">
      <c r="E20" s="15"/>
      <c r="F20" s="15"/>
      <c r="G20" s="16" t="s">
        <v>34</v>
      </c>
      <c r="H20" s="17" t="n">
        <f aca="false">H9</f>
        <v>20</v>
      </c>
      <c r="I20" s="18"/>
      <c r="J20" s="1"/>
    </row>
    <row r="21" customFormat="false" ht="17.35" hidden="false" customHeight="false" outlineLevel="0" collapsed="false">
      <c r="E21" s="15"/>
      <c r="F21" s="15"/>
      <c r="G21" s="16" t="s">
        <v>35</v>
      </c>
      <c r="H21" s="17" t="n">
        <f aca="false">SUM(C6:G15)-H9</f>
        <v>75</v>
      </c>
      <c r="I21" s="18"/>
      <c r="J21" s="1"/>
    </row>
    <row r="22" customFormat="false" ht="17.35" hidden="false" customHeight="false" outlineLevel="0" collapsed="false">
      <c r="G22" s="16" t="s">
        <v>36</v>
      </c>
      <c r="H22" s="17" t="n">
        <f aca="false">H19-H20</f>
        <v>82</v>
      </c>
      <c r="I22" s="18" t="n">
        <f aca="false">SUM(C10:G17,C6:G7)</f>
        <v>82</v>
      </c>
      <c r="J22" s="1"/>
    </row>
    <row r="23" customFormat="false" ht="15.75" hidden="false" customHeight="false" outlineLevel="0" collapsed="false">
      <c r="H23" s="18"/>
      <c r="I23" s="18"/>
      <c r="J23" s="1"/>
    </row>
    <row r="24" customFormat="false" ht="15.75" hidden="false" customHeight="false" outlineLevel="0" collapsed="false">
      <c r="H24" s="18"/>
      <c r="I24" s="18"/>
      <c r="J24" s="1"/>
    </row>
    <row r="25" customFormat="false" ht="18.55" hidden="false" customHeight="false" outlineLevel="0" collapsed="false">
      <c r="C25" s="19" t="s">
        <v>37</v>
      </c>
      <c r="D25" s="20"/>
      <c r="E25" s="20"/>
      <c r="F25" s="20"/>
      <c r="G25" s="20"/>
      <c r="H25" s="18"/>
      <c r="I25" s="18"/>
      <c r="J25" s="1"/>
    </row>
    <row r="26" customFormat="false" ht="16.15" hidden="false" customHeight="false" outlineLevel="0" collapsed="false">
      <c r="C26" s="21" t="n">
        <f aca="false">SUM(C6:C7,C10:C17)</f>
        <v>80</v>
      </c>
      <c r="D26" s="21" t="n">
        <f aca="false">SUM(D6:D7,D10:D17)</f>
        <v>2</v>
      </c>
      <c r="E26" s="21" t="n">
        <f aca="false">SUM(E6:E7,E10:E17)</f>
        <v>0</v>
      </c>
      <c r="F26" s="21" t="n">
        <f aca="false">SUM(F6:F7,F10:F17)</f>
        <v>0</v>
      </c>
      <c r="G26" s="21" t="n">
        <f aca="false">SUM(G6:G7,G10:G17)</f>
        <v>0</v>
      </c>
      <c r="H26" s="18"/>
      <c r="I26" s="18"/>
      <c r="J26" s="1"/>
    </row>
    <row r="27" customFormat="false" ht="15.75" hidden="false" customHeight="false" outlineLevel="0" collapsed="false">
      <c r="H27" s="18"/>
      <c r="I27" s="18"/>
      <c r="J27" s="1"/>
    </row>
    <row r="28" customFormat="false" ht="15.75" hidden="false" customHeight="false" outlineLevel="0" collapsed="false">
      <c r="H28" s="18"/>
      <c r="I28" s="18"/>
      <c r="J28" s="1"/>
    </row>
    <row r="29" customFormat="false" ht="15.75" hidden="false" customHeight="false" outlineLevel="0" collapsed="false">
      <c r="H29" s="18"/>
      <c r="I29" s="18"/>
      <c r="J29" s="1"/>
    </row>
    <row r="30" customFormat="false" ht="16.5" hidden="false" customHeight="true" outlineLevel="0" collapsed="false"/>
    <row r="31" customFormat="false" ht="15.75" hidden="false" customHeight="false" outlineLevel="0" collapsed="false">
      <c r="B31" s="1" t="s">
        <v>38</v>
      </c>
    </row>
    <row r="33" customFormat="false" ht="16.15" hidden="false" customHeight="false" outlineLevel="0" collapsed="false">
      <c r="A33" s="13" t="s">
        <v>39</v>
      </c>
      <c r="B33" s="6" t="s">
        <v>40</v>
      </c>
    </row>
    <row r="34" customFormat="false" ht="15.75" hidden="false" customHeight="false" outlineLevel="0" collapsed="false">
      <c r="B34" s="6" t="s">
        <v>41</v>
      </c>
    </row>
    <row r="36" customFormat="false" ht="16.15" hidden="false" customHeight="false" outlineLevel="0" collapsed="false">
      <c r="A36" s="13" t="s">
        <v>42</v>
      </c>
      <c r="B36" s="6" t="s">
        <v>43</v>
      </c>
    </row>
    <row r="38" customFormat="false" ht="16.15" hidden="false" customHeight="false" outlineLevel="0" collapsed="false">
      <c r="A38" s="13" t="s">
        <v>44</v>
      </c>
      <c r="B38" s="6" t="s">
        <v>45</v>
      </c>
    </row>
    <row r="40" customFormat="false" ht="16.15" hidden="false" customHeight="false" outlineLevel="0" collapsed="false">
      <c r="A40" s="13" t="s">
        <v>46</v>
      </c>
      <c r="B40" s="6" t="s">
        <v>47</v>
      </c>
    </row>
    <row r="42" customFormat="false" ht="16.15" hidden="false" customHeight="false" outlineLevel="0" collapsed="false">
      <c r="A42" s="13" t="s">
        <v>48</v>
      </c>
      <c r="B42" s="6" t="s">
        <v>49</v>
      </c>
    </row>
    <row r="44" customFormat="false" ht="16.15" hidden="false" customHeight="false" outlineLevel="0" collapsed="false">
      <c r="A44" s="13" t="s">
        <v>50</v>
      </c>
      <c r="B44" s="6" t="s">
        <v>51</v>
      </c>
    </row>
    <row r="46" customFormat="false" ht="16.15" hidden="false" customHeight="false" outlineLevel="0" collapsed="false">
      <c r="A46" s="13" t="s">
        <v>52</v>
      </c>
      <c r="B46" s="6" t="s">
        <v>53</v>
      </c>
    </row>
    <row r="48" customFormat="false" ht="16.15" hidden="false" customHeight="false" outlineLevel="0" collapsed="false">
      <c r="A48" s="13" t="s">
        <v>54</v>
      </c>
      <c r="B48" s="6" t="s">
        <v>55</v>
      </c>
    </row>
    <row r="49" customFormat="false" ht="15.75" hidden="false" customHeight="false" outlineLevel="0" collapsed="false">
      <c r="B49" s="6" t="s">
        <v>56</v>
      </c>
    </row>
    <row r="50" customFormat="false" ht="15.75" hidden="false" customHeight="false" outlineLevel="0" collapsed="false">
      <c r="B50" s="6" t="s">
        <v>57</v>
      </c>
    </row>
    <row r="51" customFormat="false" ht="15.75" hidden="false" customHeight="false" outlineLevel="0" collapsed="false">
      <c r="B51" s="6" t="s">
        <v>58</v>
      </c>
    </row>
    <row r="52" customFormat="false" ht="15.75" hidden="false" customHeight="false" outlineLevel="0" collapsed="false">
      <c r="B52" s="6" t="s">
        <v>59</v>
      </c>
    </row>
    <row r="53" customFormat="false" ht="15.75" hidden="false" customHeight="false" outlineLevel="0" collapsed="false">
      <c r="B53" s="6" t="s">
        <v>60</v>
      </c>
    </row>
    <row r="54" customFormat="false" ht="15.75" hidden="false" customHeight="false" outlineLevel="0" collapsed="false">
      <c r="B54" s="6" t="s">
        <v>61</v>
      </c>
    </row>
    <row r="1048576" customFormat="false" ht="12.8" hidden="false" customHeight="true" outlineLevel="0" collapsed="false"/>
  </sheetData>
  <hyperlinks>
    <hyperlink ref="K11" r:id="rId1" location="Fig7" display="https://link.springer.com/article/10.1186/1471-2148-13-99#Fig7"/>
    <hyperlink ref="A33" r:id="rId2" display="Babcock &amp; Peel"/>
    <hyperlink ref="A36" r:id="rId3" display="Stein 2010"/>
    <hyperlink ref="A38" r:id="rId4" display="Vannier and Chen 2000"/>
    <hyperlink ref="A40" r:id="rId5" display="Taylor 2003"/>
    <hyperlink ref="A42" r:id="rId6" display="Budd 2003"/>
    <hyperlink ref="A44" r:id="rId7" location="d1e3172" display="Budd 2011"/>
    <hyperlink ref="A46" r:id="rId8" display="Budd 2011b"/>
    <hyperlink ref="A48" r:id="rId9" display="Peel 2017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16.5"/>
  </cols>
  <sheetData>
    <row r="1" customFormat="false" ht="15.75" hidden="false" customHeight="false" outlineLevel="0" collapsed="false">
      <c r="A1" s="22"/>
      <c r="C1" s="1" t="s">
        <v>2</v>
      </c>
      <c r="D1" s="3" t="s">
        <v>5</v>
      </c>
      <c r="E1" s="3" t="s">
        <v>6</v>
      </c>
      <c r="F1" s="3" t="s">
        <v>7</v>
      </c>
      <c r="G1" s="1" t="s">
        <v>62</v>
      </c>
      <c r="H1" s="4"/>
    </row>
    <row r="2" customFormat="false" ht="15.75" hidden="false" customHeight="false" outlineLevel="0" collapsed="false">
      <c r="A2" s="22"/>
    </row>
    <row r="3" customFormat="false" ht="15.75" hidden="false" customHeight="false" outlineLevel="0" collapsed="false">
      <c r="A3" s="22"/>
      <c r="B3" s="2" t="s">
        <v>9</v>
      </c>
      <c r="C3" s="5" t="s">
        <v>10</v>
      </c>
      <c r="D3" s="6" t="n">
        <v>2</v>
      </c>
      <c r="E3" s="6" t="n">
        <v>46</v>
      </c>
      <c r="F3" s="6" t="n">
        <v>0</v>
      </c>
      <c r="G3" s="6" t="n">
        <f aca="false">SUM(D3:F3)</f>
        <v>48</v>
      </c>
      <c r="H3" s="6" t="s">
        <v>11</v>
      </c>
    </row>
    <row r="4" customFormat="false" ht="15.75" hidden="false" customHeight="false" outlineLevel="0" collapsed="false">
      <c r="A4" s="22"/>
      <c r="B4" s="2" t="s">
        <v>63</v>
      </c>
      <c r="C4" s="5" t="s">
        <v>13</v>
      </c>
      <c r="D4" s="6" t="n">
        <v>0</v>
      </c>
      <c r="E4" s="6" t="n">
        <v>1</v>
      </c>
      <c r="F4" s="6" t="n">
        <v>2</v>
      </c>
      <c r="G4" s="6" t="n">
        <f aca="false">SUM(D4:F4)</f>
        <v>3</v>
      </c>
    </row>
    <row r="5" customFormat="false" ht="15.75" hidden="false" customHeight="false" outlineLevel="0" collapsed="false">
      <c r="A5" s="22"/>
      <c r="B5" s="2"/>
      <c r="C5" s="8"/>
      <c r="G5" s="6" t="n">
        <f aca="false">SUM(D5:F5)</f>
        <v>0</v>
      </c>
    </row>
    <row r="6" customFormat="false" ht="15.75" hidden="false" customHeight="false" outlineLevel="0" collapsed="false">
      <c r="A6" s="23"/>
      <c r="B6" s="24" t="s">
        <v>14</v>
      </c>
      <c r="C6" s="25" t="s">
        <v>15</v>
      </c>
      <c r="D6" s="26" t="n">
        <v>0</v>
      </c>
      <c r="E6" s="26" t="n">
        <v>19</v>
      </c>
      <c r="F6" s="26" t="n">
        <v>1</v>
      </c>
      <c r="G6" s="6" t="n">
        <f aca="false">SUM(D6:F6)</f>
        <v>20</v>
      </c>
      <c r="H6" s="26" t="s">
        <v>16</v>
      </c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customFormat="false" ht="15.75" hidden="false" customHeight="false" outlineLevel="0" collapsed="false">
      <c r="A7" s="22"/>
      <c r="B7" s="2" t="s">
        <v>17</v>
      </c>
      <c r="C7" s="5" t="s">
        <v>18</v>
      </c>
      <c r="D7" s="6" t="n">
        <v>1</v>
      </c>
      <c r="E7" s="6" t="n">
        <v>1</v>
      </c>
      <c r="F7" s="6" t="n">
        <v>1</v>
      </c>
      <c r="G7" s="6" t="n">
        <f aca="false">SUM(D7:F7)</f>
        <v>3</v>
      </c>
      <c r="H7" s="6" t="s">
        <v>19</v>
      </c>
    </row>
    <row r="8" customFormat="false" ht="16.15" hidden="false" customHeight="false" outlineLevel="0" collapsed="false">
      <c r="A8" s="22"/>
      <c r="B8" s="2" t="s">
        <v>12</v>
      </c>
      <c r="C8" s="5" t="s">
        <v>20</v>
      </c>
      <c r="D8" s="6" t="n">
        <v>3</v>
      </c>
      <c r="E8" s="6" t="n">
        <v>4</v>
      </c>
      <c r="F8" s="6" t="n">
        <v>0</v>
      </c>
      <c r="G8" s="6" t="n">
        <f aca="false">SUM(D8:F8)</f>
        <v>7</v>
      </c>
      <c r="H8" s="6" t="s">
        <v>21</v>
      </c>
      <c r="J8" s="13" t="s">
        <v>22</v>
      </c>
    </row>
    <row r="9" customFormat="false" ht="15.75" hidden="false" customHeight="false" outlineLevel="0" collapsed="false">
      <c r="A9" s="22"/>
      <c r="B9" s="2"/>
      <c r="C9" s="5" t="s">
        <v>23</v>
      </c>
      <c r="D9" s="6" t="n">
        <v>1</v>
      </c>
      <c r="E9" s="6" t="n">
        <v>1</v>
      </c>
      <c r="F9" s="6" t="n">
        <v>0</v>
      </c>
      <c r="G9" s="6" t="n">
        <f aca="false">SUM(D9:F9)</f>
        <v>2</v>
      </c>
      <c r="H9" s="6" t="s">
        <v>24</v>
      </c>
    </row>
    <row r="10" customFormat="false" ht="15.75" hidden="false" customHeight="false" outlineLevel="0" collapsed="false">
      <c r="A10" s="22"/>
      <c r="B10" s="2"/>
      <c r="C10" s="5" t="s">
        <v>25</v>
      </c>
      <c r="D10" s="6" t="n">
        <v>2</v>
      </c>
      <c r="E10" s="6" t="n">
        <v>1</v>
      </c>
      <c r="F10" s="6" t="n">
        <v>0</v>
      </c>
      <c r="G10" s="6" t="n">
        <f aca="false">SUM(D10:F10)</f>
        <v>3</v>
      </c>
      <c r="H10" s="6" t="s">
        <v>28</v>
      </c>
    </row>
    <row r="11" customFormat="false" ht="15.75" hidden="false" customHeight="false" outlineLevel="0" collapsed="false">
      <c r="A11" s="22"/>
      <c r="B11" s="2"/>
      <c r="C11" s="5" t="s">
        <v>27</v>
      </c>
      <c r="D11" s="6" t="n">
        <v>2</v>
      </c>
      <c r="E11" s="6" t="n">
        <v>4</v>
      </c>
      <c r="F11" s="6" t="n">
        <v>0</v>
      </c>
      <c r="G11" s="6" t="n">
        <f aca="false">SUM(D11:F11)</f>
        <v>6</v>
      </c>
      <c r="H11" s="6" t="s">
        <v>28</v>
      </c>
    </row>
    <row r="12" customFormat="false" ht="15.75" hidden="false" customHeight="false" outlineLevel="0" collapsed="false">
      <c r="A12" s="22"/>
      <c r="B12" s="2"/>
      <c r="C12" s="5" t="s">
        <v>29</v>
      </c>
      <c r="D12" s="6" t="n">
        <v>0</v>
      </c>
      <c r="E12" s="6" t="n">
        <v>2</v>
      </c>
      <c r="F12" s="6" t="n">
        <v>0</v>
      </c>
      <c r="G12" s="6" t="n">
        <f aca="false">SUM(D12:F12)</f>
        <v>2</v>
      </c>
      <c r="H12" s="6" t="s">
        <v>30</v>
      </c>
    </row>
    <row r="13" customFormat="false" ht="15.75" hidden="false" customHeight="false" outlineLevel="0" collapsed="false">
      <c r="A13" s="22"/>
      <c r="B13" s="2"/>
      <c r="C13" s="8"/>
    </row>
    <row r="14" customFormat="false" ht="15.75" hidden="false" customHeight="false" outlineLevel="0" collapsed="false">
      <c r="A14" s="22"/>
      <c r="B14" s="2" t="s">
        <v>31</v>
      </c>
      <c r="C14" s="5" t="s">
        <v>32</v>
      </c>
      <c r="D14" s="6" t="n">
        <v>1</v>
      </c>
      <c r="E14" s="6" t="n">
        <v>5</v>
      </c>
      <c r="F14" s="6" t="n">
        <v>1</v>
      </c>
    </row>
    <row r="15" customFormat="false" ht="15.75" hidden="false" customHeight="false" outlineLevel="0" collapsed="false">
      <c r="A15" s="22"/>
    </row>
    <row r="16" customFormat="false" ht="15.75" hidden="false" customHeight="false" outlineLevel="0" collapsed="false">
      <c r="A16" s="22"/>
      <c r="D16" s="7" t="n">
        <f aca="false">SUM(D3:D4,D7:D12,D14)</f>
        <v>12</v>
      </c>
      <c r="E16" s="7" t="n">
        <f aca="false">SUM(E3:E4,E7:E12,E14)</f>
        <v>65</v>
      </c>
      <c r="F16" s="7" t="n">
        <f aca="false">SUM(F3:F4,F7:F12,F14)</f>
        <v>4</v>
      </c>
      <c r="H16" s="18" t="n">
        <f aca="false">SUM(D16:F16)</f>
        <v>81</v>
      </c>
    </row>
    <row r="17" customFormat="false" ht="15.75" hidden="false" customHeight="false" outlineLevel="0" collapsed="false">
      <c r="A17" s="22"/>
      <c r="D17" s="7" t="n">
        <f aca="false">D16-D3</f>
        <v>10</v>
      </c>
      <c r="E17" s="7" t="n">
        <f aca="false">E16-E3</f>
        <v>19</v>
      </c>
      <c r="F17" s="7" t="n">
        <f aca="false">F16-F3</f>
        <v>4</v>
      </c>
    </row>
    <row r="18" customFormat="false" ht="15.75" hidden="false" customHeight="false" outlineLevel="0" collapsed="false">
      <c r="A18" s="22"/>
    </row>
    <row r="19" customFormat="false" ht="17.35" hidden="false" customHeight="false" outlineLevel="0" collapsed="false">
      <c r="A19" s="22"/>
      <c r="E19" s="15"/>
      <c r="F19" s="15"/>
      <c r="G19" s="16" t="s">
        <v>33</v>
      </c>
      <c r="H19" s="17" t="n">
        <f aca="false">SUM(D3:F14)</f>
        <v>101</v>
      </c>
    </row>
    <row r="20" customFormat="false" ht="17.35" hidden="false" customHeight="false" outlineLevel="0" collapsed="false">
      <c r="A20" s="22"/>
      <c r="E20" s="15"/>
      <c r="F20" s="15"/>
      <c r="G20" s="16" t="s">
        <v>34</v>
      </c>
      <c r="H20" s="17" t="n">
        <f aca="false">SUM(D6:F6)</f>
        <v>20</v>
      </c>
    </row>
    <row r="21" customFormat="false" ht="17.35" hidden="false" customHeight="false" outlineLevel="0" collapsed="false">
      <c r="A21" s="22"/>
      <c r="E21" s="15"/>
      <c r="F21" s="15"/>
      <c r="G21" s="16" t="s">
        <v>35</v>
      </c>
      <c r="H21" s="17" t="n">
        <f aca="false">SUM(D3:F4,D7:F12)</f>
        <v>74</v>
      </c>
    </row>
    <row r="22" customFormat="false" ht="17.35" hidden="false" customHeight="false" outlineLevel="0" collapsed="false">
      <c r="A22" s="22"/>
      <c r="G22" s="16" t="s">
        <v>36</v>
      </c>
      <c r="H22" s="17" t="n">
        <f aca="false">SUM(D3:F14)-SUM(D6:F6)</f>
        <v>81</v>
      </c>
    </row>
    <row r="23" customFormat="false" ht="15.75" hidden="false" customHeight="false" outlineLevel="0" collapsed="false">
      <c r="A23" s="22"/>
      <c r="H23" s="18"/>
    </row>
    <row r="24" customFormat="false" ht="15.75" hidden="false" customHeight="false" outlineLevel="0" collapsed="false">
      <c r="A24" s="22"/>
      <c r="H24" s="18"/>
    </row>
    <row r="25" customFormat="false" ht="18.55" hidden="false" customHeight="false" outlineLevel="0" collapsed="false">
      <c r="A25" s="22"/>
      <c r="C25" s="19" t="s">
        <v>37</v>
      </c>
      <c r="D25" s="20"/>
      <c r="E25" s="20"/>
      <c r="F25" s="20"/>
      <c r="G25" s="20"/>
      <c r="H25" s="18"/>
    </row>
    <row r="26" customFormat="false" ht="16.15" hidden="false" customHeight="false" outlineLevel="0" collapsed="false">
      <c r="A26" s="22"/>
      <c r="C26" s="21"/>
      <c r="D26" s="21" t="n">
        <f aca="false">SUM(D3:D4,D7:D14)</f>
        <v>12</v>
      </c>
      <c r="E26" s="21" t="n">
        <f aca="false">SUM(E3:E4,E7:E14)</f>
        <v>65</v>
      </c>
      <c r="F26" s="21" t="n">
        <f aca="false">SUM(F3:F4,F7:F14)</f>
        <v>4</v>
      </c>
      <c r="G26" s="21"/>
      <c r="H26" s="18"/>
    </row>
    <row r="27" customFormat="false" ht="15.75" hidden="false" customHeight="false" outlineLevel="0" collapsed="false">
      <c r="A27" s="22"/>
    </row>
    <row r="28" customFormat="false" ht="18.55" hidden="false" customHeight="false" outlineLevel="0" collapsed="false">
      <c r="A28" s="22"/>
      <c r="C28" s="19" t="s">
        <v>64</v>
      </c>
      <c r="D28" s="20"/>
      <c r="E28" s="20"/>
      <c r="F28" s="20"/>
      <c r="G28" s="20"/>
    </row>
    <row r="29" customFormat="false" ht="16.15" hidden="false" customHeight="false" outlineLevel="0" collapsed="false">
      <c r="A29" s="22"/>
      <c r="C29" s="21"/>
      <c r="D29" s="21" t="n">
        <f aca="false">SUM(D4,D7:D14)</f>
        <v>10</v>
      </c>
      <c r="E29" s="21" t="n">
        <f aca="false">SUM(E4,E7:E14)</f>
        <v>19</v>
      </c>
      <c r="F29" s="21" t="n">
        <f aca="false">SUM(F4,F7:F14)</f>
        <v>4</v>
      </c>
      <c r="G29" s="21"/>
    </row>
    <row r="30" customFormat="false" ht="15.75" hidden="false" customHeight="false" outlineLevel="0" collapsed="false">
      <c r="A30" s="22"/>
    </row>
    <row r="31" customFormat="false" ht="15.75" hidden="false" customHeight="false" outlineLevel="0" collapsed="false">
      <c r="A31" s="22"/>
    </row>
    <row r="32" customFormat="false" ht="15.75" hidden="false" customHeight="false" outlineLevel="0" collapsed="false">
      <c r="A32" s="22"/>
    </row>
    <row r="33" customFormat="false" ht="15.75" hidden="false" customHeight="false" outlineLevel="0" collapsed="false">
      <c r="A33" s="22"/>
    </row>
    <row r="34" customFormat="false" ht="15.75" hidden="false" customHeight="false" outlineLevel="0" collapsed="false">
      <c r="A34" s="22"/>
    </row>
    <row r="35" customFormat="false" ht="15.75" hidden="false" customHeight="false" outlineLevel="0" collapsed="false">
      <c r="A35" s="22"/>
    </row>
    <row r="36" customFormat="false" ht="15.75" hidden="false" customHeight="false" outlineLevel="0" collapsed="false">
      <c r="A36" s="22"/>
    </row>
    <row r="37" customFormat="false" ht="15.75" hidden="false" customHeight="false" outlineLevel="0" collapsed="false">
      <c r="A37" s="22"/>
    </row>
    <row r="38" customFormat="false" ht="15.75" hidden="false" customHeight="false" outlineLevel="0" collapsed="false">
      <c r="A38" s="22"/>
    </row>
    <row r="39" customFormat="false" ht="15.75" hidden="false" customHeight="false" outlineLevel="0" collapsed="false">
      <c r="A39" s="22"/>
    </row>
    <row r="40" customFormat="false" ht="15.75" hidden="false" customHeight="false" outlineLevel="0" collapsed="false">
      <c r="A40" s="22"/>
    </row>
    <row r="41" customFormat="false" ht="15.75" hidden="false" customHeight="false" outlineLevel="0" collapsed="false">
      <c r="A41" s="22"/>
    </row>
    <row r="42" customFormat="false" ht="15.75" hidden="false" customHeight="false" outlineLevel="0" collapsed="false">
      <c r="A42" s="22"/>
    </row>
    <row r="43" customFormat="false" ht="15.75" hidden="false" customHeight="false" outlineLevel="0" collapsed="false">
      <c r="A43" s="22"/>
    </row>
    <row r="44" customFormat="false" ht="15.75" hidden="false" customHeight="false" outlineLevel="0" collapsed="false">
      <c r="A44" s="22"/>
    </row>
    <row r="45" customFormat="false" ht="15.75" hidden="false" customHeight="false" outlineLevel="0" collapsed="false">
      <c r="A45" s="22"/>
    </row>
    <row r="46" customFormat="false" ht="15.75" hidden="false" customHeight="false" outlineLevel="0" collapsed="false">
      <c r="A46" s="22"/>
    </row>
    <row r="47" customFormat="false" ht="15.75" hidden="false" customHeight="false" outlineLevel="0" collapsed="false">
      <c r="A47" s="22"/>
    </row>
    <row r="48" customFormat="false" ht="15.75" hidden="false" customHeight="false" outlineLevel="0" collapsed="false">
      <c r="A48" s="22"/>
    </row>
    <row r="49" customFormat="false" ht="15.75" hidden="false" customHeight="false" outlineLevel="0" collapsed="false">
      <c r="A49" s="22"/>
    </row>
    <row r="50" customFormat="false" ht="15.75" hidden="false" customHeight="false" outlineLevel="0" collapsed="false">
      <c r="A50" s="22"/>
    </row>
    <row r="51" customFormat="false" ht="15.75" hidden="false" customHeight="false" outlineLevel="0" collapsed="false">
      <c r="A51" s="22"/>
    </row>
    <row r="52" customFormat="false" ht="15.75" hidden="false" customHeight="false" outlineLevel="0" collapsed="false">
      <c r="A52" s="22"/>
    </row>
    <row r="53" customFormat="false" ht="15.75" hidden="false" customHeight="false" outlineLevel="0" collapsed="false">
      <c r="A53" s="22"/>
    </row>
    <row r="54" customFormat="false" ht="15.75" hidden="false" customHeight="false" outlineLevel="0" collapsed="false">
      <c r="A54" s="22"/>
    </row>
    <row r="55" customFormat="false" ht="15.75" hidden="false" customHeight="false" outlineLevel="0" collapsed="false">
      <c r="A55" s="22"/>
    </row>
    <row r="56" customFormat="false" ht="15.75" hidden="false" customHeight="false" outlineLevel="0" collapsed="false">
      <c r="A56" s="22"/>
    </row>
    <row r="57" customFormat="false" ht="15.75" hidden="false" customHeight="false" outlineLevel="0" collapsed="false">
      <c r="A57" s="22"/>
    </row>
    <row r="58" customFormat="false" ht="15.75" hidden="false" customHeight="false" outlineLevel="0" collapsed="false">
      <c r="A58" s="22"/>
    </row>
    <row r="59" customFormat="false" ht="15.75" hidden="false" customHeight="false" outlineLevel="0" collapsed="false">
      <c r="A59" s="22"/>
    </row>
    <row r="60" customFormat="false" ht="15.75" hidden="false" customHeight="false" outlineLevel="0" collapsed="false">
      <c r="A60" s="22"/>
    </row>
    <row r="61" customFormat="false" ht="15.75" hidden="false" customHeight="false" outlineLevel="0" collapsed="false">
      <c r="A61" s="22"/>
    </row>
    <row r="62" customFormat="false" ht="15.75" hidden="false" customHeight="false" outlineLevel="0" collapsed="false">
      <c r="A62" s="22"/>
    </row>
    <row r="63" customFormat="false" ht="15.75" hidden="false" customHeight="false" outlineLevel="0" collapsed="false">
      <c r="A63" s="22"/>
    </row>
    <row r="64" customFormat="false" ht="15.75" hidden="false" customHeight="false" outlineLevel="0" collapsed="false">
      <c r="A64" s="22"/>
    </row>
    <row r="65" customFormat="false" ht="15.75" hidden="false" customHeight="false" outlineLevel="0" collapsed="false">
      <c r="A65" s="22"/>
    </row>
    <row r="66" customFormat="false" ht="15.75" hidden="false" customHeight="false" outlineLevel="0" collapsed="false">
      <c r="A66" s="22"/>
    </row>
    <row r="67" customFormat="false" ht="15.75" hidden="false" customHeight="false" outlineLevel="0" collapsed="false">
      <c r="A67" s="22"/>
    </row>
    <row r="1048576" customFormat="false" ht="12.8" hidden="false" customHeight="true" outlineLevel="0" collapsed="false"/>
  </sheetData>
  <hyperlinks>
    <hyperlink ref="J8" r:id="rId1" location="Fig7" display="https://link.springer.com/article/10.1186/1471-2148-13-99#Fig7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2026-10-02T10:46:28Z</dcterms:modified>
  <cp:revision>2</cp:revision>
  <dc:subject/>
  <dc:title/>
</cp:coreProperties>
</file>