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eanmcmahon/Desktop/OTHER RESEARCH WORK/Taphonomy/"/>
    </mc:Choice>
  </mc:AlternateContent>
  <xr:revisionPtr revIDLastSave="0" documentId="13_ncr:1_{2C1BF9B2-142E-BB4E-A835-FA9BB0E5DBE8}" xr6:coauthVersionLast="47" xr6:coauthVersionMax="47" xr10:uidLastSave="{00000000-0000-0000-0000-000000000000}"/>
  <bookViews>
    <workbookView xWindow="0" yWindow="0" windowWidth="25600" windowHeight="16000" tabRatio="500" xr2:uid="{00000000-000D-0000-FFFF-FFFF00000000}"/>
  </bookViews>
  <sheets>
    <sheet name="Table S1 - Taphonomic" sheetId="1" r:id="rId1"/>
    <sheet name="Table S2 - Preservationa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26" i="2" l="1"/>
  <c r="G26" i="1"/>
  <c r="F26" i="1"/>
  <c r="E26" i="1"/>
  <c r="D26" i="1"/>
  <c r="C26" i="1"/>
  <c r="H20" i="1"/>
  <c r="H19" i="1"/>
  <c r="H22" i="1" s="1"/>
  <c r="H15" i="1"/>
  <c r="H14" i="1"/>
  <c r="H13" i="1"/>
  <c r="H12" i="1"/>
  <c r="H11" i="1"/>
  <c r="H10" i="1"/>
  <c r="H9" i="1"/>
  <c r="H21" i="1" s="1"/>
  <c r="H7" i="1"/>
  <c r="H6" i="1"/>
  <c r="F29" i="2"/>
  <c r="E29" i="2"/>
  <c r="D29" i="2"/>
  <c r="F26" i="2"/>
  <c r="E26" i="2"/>
  <c r="H22" i="2"/>
  <c r="H21" i="2"/>
  <c r="H20" i="2"/>
  <c r="H19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<sst xmlns="http://schemas.openxmlformats.org/spreadsheetml/2006/main" count="104" uniqueCount="67">
  <si>
    <t>GOOD PRESERVATION</t>
  </si>
  <si>
    <t>BAD PRESERVATION</t>
  </si>
  <si>
    <t>Taxon</t>
  </si>
  <si>
    <t># in State 5</t>
  </si>
  <si>
    <t># in State 4</t>
  </si>
  <si>
    <t># in State 3</t>
  </si>
  <si>
    <t># in State 2</t>
  </si>
  <si>
    <t># in State 1</t>
  </si>
  <si>
    <t>count</t>
  </si>
  <si>
    <t>Bivalved</t>
  </si>
  <si>
    <t>Isoxys</t>
  </si>
  <si>
    <t>Thin carapace, spines were sclerotized</t>
  </si>
  <si>
    <t>arthropods</t>
  </si>
  <si>
    <t>Pauloterminus</t>
  </si>
  <si>
    <t>Segmented</t>
  </si>
  <si>
    <t>Buenellus</t>
  </si>
  <si>
    <t>Calcified</t>
  </si>
  <si>
    <t>multipodus</t>
  </si>
  <si>
    <t>Kiisortoqia</t>
  </si>
  <si>
    <t>Weakly sclerotized</t>
  </si>
  <si>
    <t>Arthroaspis</t>
  </si>
  <si>
    <t>Buenaspis</t>
  </si>
  <si>
    <t>Molaria</t>
  </si>
  <si>
    <t>Campanamuta</t>
  </si>
  <si>
    <t>No notes</t>
  </si>
  <si>
    <t>Kleptothule</t>
  </si>
  <si>
    <t>Unidentified</t>
  </si>
  <si>
    <t>Arthropoda sp.</t>
  </si>
  <si>
    <t>Total specimens =</t>
  </si>
  <si>
    <t>Total biomineralizing (from identified taxa) =</t>
  </si>
  <si>
    <t>Total non-biomineralizing (from identified taxa) =</t>
  </si>
  <si>
    <t>Total non-biomineralizing (including unidentified taxa)</t>
  </si>
  <si>
    <t>Total non-biomineralizing in each state</t>
  </si>
  <si>
    <t>Comments</t>
  </si>
  <si>
    <t>Babcock &amp; Peel</t>
  </si>
  <si>
    <t>Buenellus is one of the most common faunal elements at Sirius Passet.</t>
  </si>
  <si>
    <t>"Isolated sclerites are rare in the MGUH collection due to selective collecting"</t>
  </si>
  <si>
    <t>Stein 2010</t>
  </si>
  <si>
    <t>Kiisortoqia was sclerotized, but "sclerotizaton seems to have been comparatively weak"</t>
  </si>
  <si>
    <t>Vannier and Chen 2000</t>
  </si>
  <si>
    <t>Isoxys had a 'thin carapace" and spiny processes that were "most probable sclerotized"</t>
  </si>
  <si>
    <t>Taylor 2003</t>
  </si>
  <si>
    <t>Pauloterminus: of 66 available specimens, 55 were "well preserved".</t>
  </si>
  <si>
    <t>Budd 2003</t>
  </si>
  <si>
    <t>Beunaspis is referred to the nektaspis or "soft-bodied trilobites"</t>
  </si>
  <si>
    <t>Budd 2011</t>
  </si>
  <si>
    <t>Campanamuta is definitely not calcified</t>
  </si>
  <si>
    <t>Budd 2011b</t>
  </si>
  <si>
    <t>Kleptohule: "There is some evidence that the exoskeleton was lightly mineralised"</t>
  </si>
  <si>
    <t>Peel 2017</t>
  </si>
  <si>
    <t>Sirius Passet</t>
  </si>
  <si>
    <t>taxa with originally calcareous exoskeletons often retain</t>
  </si>
  <si>
    <t>high relief, the latter including the trilobite Buenellus</t>
  </si>
  <si>
    <t>higginsi Blaker, 1988, the armoured Halkieria evangelista</t>
  </si>
  <si>
    <t>Conway Morris &amp; Peel, 1995 and hyoliths (Peel 2010), as</t>
  </si>
  <si>
    <t>well as individual spicules from the diverse assemblage of</t>
  </si>
  <si>
    <t>sponges (Botting et al. 2015, Botting &amp; Peel 2016)</t>
  </si>
  <si>
    <t>Count</t>
  </si>
  <si>
    <t>branchiopods</t>
  </si>
  <si>
    <t>Total non-biomineralizing in each state, excluding Isoxys</t>
  </si>
  <si>
    <t>Soft-bodied trilobite</t>
  </si>
  <si>
    <t>Sclerotized in some parts*</t>
  </si>
  <si>
    <t>*Stein et al. 2013</t>
  </si>
  <si>
    <t>Possibly lightly mineralized in parts*</t>
  </si>
  <si>
    <t>*Budd et al. 2011</t>
  </si>
  <si>
    <t>GOOD…</t>
  </si>
  <si>
    <t>...BAD PRESERVATION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</si>
</sst>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charset val="1"/>
    </font>
    <font>
      <b/>
      <sz val="11"/>
      <color theme="1"/>
      <name val="Arial"/>
      <charset val="1"/>
    </font>
    <font>
      <b/>
      <sz val="11"/>
      <color rgb="FFFF0000"/>
      <name val="Arial"/>
      <charset val="1"/>
    </font>
    <font>
      <i/>
      <sz val="11"/>
      <color theme="1"/>
      <name val="Arial"/>
      <charset val="1"/>
    </font>
    <font>
      <sz val="11"/>
      <color theme="1"/>
      <name val="Arial"/>
      <charset val="1"/>
    </font>
    <font>
      <u/>
      <sz val="11"/>
      <color rgb="FF0000FF"/>
      <name val="Cambria"/>
      <charset val="1"/>
    </font>
    <font>
      <sz val="14"/>
      <color theme="1"/>
      <name val="Arial"/>
      <charset val="1"/>
    </font>
    <font>
      <b/>
      <sz val="14"/>
      <color theme="1"/>
      <name val="Arial"/>
      <charset val="1"/>
    </font>
    <font>
      <b/>
      <sz val="15"/>
      <color theme="1"/>
      <name val="Arial"/>
      <charset val="1"/>
    </font>
    <font>
      <b/>
      <sz val="13"/>
      <color theme="1"/>
      <name val="Arial"/>
      <charset val="1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rgb="FF0000FF"/>
      <name val="Cambria"/>
      <family val="1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right"/>
    </xf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4" fillId="0" borderId="1" xfId="0" applyFont="1" applyBorder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2" xfId="0" applyFont="1" applyBorder="1"/>
    <xf numFmtId="0" fontId="4" fillId="0" borderId="2" xfId="0" applyFont="1" applyBorder="1"/>
    <xf numFmtId="0" fontId="9" fillId="0" borderId="0" xfId="0" applyFon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0" fontId="3" fillId="3" borderId="0" xfId="0" applyFont="1" applyFill="1"/>
    <xf numFmtId="0" fontId="4" fillId="3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3" fillId="0" borderId="3" xfId="0" applyFont="1" applyBorder="1"/>
    <xf numFmtId="0" fontId="4" fillId="0" borderId="3" xfId="0" applyFont="1" applyBorder="1"/>
    <xf numFmtId="0" fontId="0" fillId="0" borderId="3" xfId="0" applyBorder="1"/>
    <xf numFmtId="0" fontId="13" fillId="0" borderId="0" xfId="0" applyFont="1" applyAlignment="1">
      <alignment horizontal="righ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eology.cz/bulletin/fulltext/1658_Peel_170803.pdf" TargetMode="External"/><Relationship Id="rId3" Type="http://schemas.openxmlformats.org/officeDocument/2006/relationships/hyperlink" Target="https://onlinelibrary.wiley.com/doi/pdf/10.1080/002411600750053862" TargetMode="External"/><Relationship Id="rId7" Type="http://schemas.openxmlformats.org/officeDocument/2006/relationships/hyperlink" Target="https://www.cambridge.org/core/journals/earth-and-environmental-science-transactions-of-royal-society-of-edinburgh/article/abs/kleptothule-rasmusseni-gen-et-sp-nov-an-olenellinidlike-trilobite-from-the-sirius-passet-fauna-buen-formation-lower-cambrian-nor" TargetMode="External"/><Relationship Id="rId2" Type="http://schemas.openxmlformats.org/officeDocument/2006/relationships/hyperlink" Target="https://academic.oup.com/zoolinnean/article/158/3/477/3798454" TargetMode="External"/><Relationship Id="rId1" Type="http://schemas.openxmlformats.org/officeDocument/2006/relationships/hyperlink" Target="https://search.informit.org/doi/pdf/10.3316/informit.219894361622173" TargetMode="External"/><Relationship Id="rId6" Type="http://schemas.openxmlformats.org/officeDocument/2006/relationships/hyperlink" Target="https://www.tandfonline.com/doi/full/10.1080/14772019.2010.492644" TargetMode="External"/><Relationship Id="rId5" Type="http://schemas.openxmlformats.org/officeDocument/2006/relationships/hyperlink" Target="https://d1wqtxts1xzle7.cloudfront.net/51044390/A_nektaspid_arthropod_from_the_Early_Cam20161224-10339-jclwlu-libre.pdf?1482613566=&amp;response-content-disposition=inline%3B+filename%3DA_nektaspid_arthropod_from_the_Early_Cam.pdf&amp;Expires=1745330999&amp;Signature=" TargetMode="External"/><Relationship Id="rId4" Type="http://schemas.openxmlformats.org/officeDocument/2006/relationships/hyperlink" Target="https://doi.org/10.1111/1475-4983.00229" TargetMode="External"/><Relationship Id="rId9" Type="http://schemas.openxmlformats.org/officeDocument/2006/relationships/hyperlink" Target="https://www.cambridge.org/core/journals/earth-and-environmental-science-transactions-of-royal-society-of-edinburgh/article/abs/kleptothule-rasmusseni-gen-et-sp-nov-an-olenellinidlike-trilobite-from-the-sirius-passet-fauna-buen-formation-lower-cambrian-north-greenland/9400E1BEF4FB5B91B94F0FBC505A8D8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mbridge.org/core/journals/earth-and-environmental-science-transactions-of-royal-society-of-edinburgh/article/abs/kleptothule-rasmusseni-gen-et-sp-nov-an-olenellinidlike-trilobite-from-the-sirius-passet-fauna-buen-formation-lower-cambrian-north-greenland/9400E1BEF4FB5B91B94F0FBC505A8D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1048576"/>
  <sheetViews>
    <sheetView tabSelected="1" zoomScaleNormal="100" workbookViewId="0">
      <selection activeCell="I22" sqref="I22"/>
    </sheetView>
  </sheetViews>
  <sheetFormatPr baseColWidth="10" defaultColWidth="12.6640625" defaultRowHeight="13" x14ac:dyDescent="0.15"/>
  <cols>
    <col min="1" max="1" width="19.5" customWidth="1"/>
    <col min="8" max="8" width="9.1640625" customWidth="1"/>
  </cols>
  <sheetData>
    <row r="3" spans="1:26" ht="16.5" customHeight="1" x14ac:dyDescent="0.15">
      <c r="C3" s="1" t="s">
        <v>0</v>
      </c>
      <c r="G3" s="2" t="s">
        <v>1</v>
      </c>
    </row>
    <row r="4" spans="1:26" ht="14" x14ac:dyDescent="0.15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3"/>
    </row>
    <row r="6" spans="1:26" ht="14" x14ac:dyDescent="0.15">
      <c r="A6" s="2" t="s">
        <v>9</v>
      </c>
      <c r="B6" s="4" t="s">
        <v>10</v>
      </c>
      <c r="C6" s="5">
        <v>47</v>
      </c>
      <c r="D6" s="5">
        <v>1</v>
      </c>
      <c r="E6" s="5">
        <v>0</v>
      </c>
      <c r="F6" s="5">
        <v>0</v>
      </c>
      <c r="G6" s="5">
        <v>0</v>
      </c>
      <c r="H6" s="5">
        <f>SUM(C6:G6)</f>
        <v>48</v>
      </c>
      <c r="I6" s="5" t="s">
        <v>11</v>
      </c>
    </row>
    <row r="7" spans="1:26" ht="14" x14ac:dyDescent="0.15">
      <c r="A7" s="2" t="s">
        <v>12</v>
      </c>
      <c r="B7" s="4" t="s">
        <v>13</v>
      </c>
      <c r="C7" s="5">
        <v>3</v>
      </c>
      <c r="D7" s="5">
        <v>0</v>
      </c>
      <c r="E7" s="5">
        <v>0</v>
      </c>
      <c r="F7" s="5">
        <v>0</v>
      </c>
      <c r="G7" s="5">
        <v>0</v>
      </c>
      <c r="H7" s="5">
        <f>SUM(C7:G7)</f>
        <v>3</v>
      </c>
      <c r="I7" s="5" t="s">
        <v>24</v>
      </c>
    </row>
    <row r="8" spans="1:26" ht="14" x14ac:dyDescent="0.15">
      <c r="A8" s="2"/>
      <c r="B8" s="4"/>
    </row>
    <row r="9" spans="1:26" ht="14" x14ac:dyDescent="0.15">
      <c r="A9" s="6" t="s">
        <v>14</v>
      </c>
      <c r="B9" s="7" t="s">
        <v>15</v>
      </c>
      <c r="C9" s="8">
        <v>11</v>
      </c>
      <c r="D9" s="8">
        <v>2</v>
      </c>
      <c r="E9" s="8">
        <v>2</v>
      </c>
      <c r="F9" s="8">
        <v>0</v>
      </c>
      <c r="G9" s="8">
        <v>5</v>
      </c>
      <c r="H9" s="8">
        <f t="shared" ref="H9:H15" si="0">SUM(C9:G9)</f>
        <v>20</v>
      </c>
      <c r="I9" s="8" t="s">
        <v>16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" x14ac:dyDescent="0.15">
      <c r="A10" s="2" t="s">
        <v>17</v>
      </c>
      <c r="B10" s="4" t="s">
        <v>18</v>
      </c>
      <c r="C10" s="5">
        <v>2</v>
      </c>
      <c r="D10" s="5">
        <v>1</v>
      </c>
      <c r="E10" s="5">
        <v>0</v>
      </c>
      <c r="F10" s="5">
        <v>0</v>
      </c>
      <c r="G10" s="5">
        <v>0</v>
      </c>
      <c r="H10" s="5">
        <f t="shared" si="0"/>
        <v>3</v>
      </c>
      <c r="I10" s="5" t="s">
        <v>19</v>
      </c>
    </row>
    <row r="11" spans="1:26" ht="14" x14ac:dyDescent="0.15">
      <c r="A11" s="2" t="s">
        <v>12</v>
      </c>
      <c r="B11" s="4" t="s">
        <v>20</v>
      </c>
      <c r="C11" s="5">
        <v>6</v>
      </c>
      <c r="D11" s="5">
        <v>0</v>
      </c>
      <c r="E11" s="5">
        <v>0</v>
      </c>
      <c r="F11" s="5">
        <v>0</v>
      </c>
      <c r="G11" s="5">
        <v>0</v>
      </c>
      <c r="H11" s="5">
        <f t="shared" si="0"/>
        <v>6</v>
      </c>
      <c r="I11" s="23" t="s">
        <v>61</v>
      </c>
      <c r="K11" s="24" t="s">
        <v>62</v>
      </c>
    </row>
    <row r="12" spans="1:26" ht="14" x14ac:dyDescent="0.15">
      <c r="A12" s="2"/>
      <c r="B12" s="4" t="s">
        <v>21</v>
      </c>
      <c r="C12" s="5">
        <v>2</v>
      </c>
      <c r="D12" s="5">
        <v>0</v>
      </c>
      <c r="E12" s="5">
        <v>0</v>
      </c>
      <c r="F12" s="5">
        <v>0</v>
      </c>
      <c r="G12" s="5">
        <v>0</v>
      </c>
      <c r="H12" s="5">
        <f t="shared" si="0"/>
        <v>2</v>
      </c>
      <c r="I12" s="23" t="s">
        <v>60</v>
      </c>
    </row>
    <row r="13" spans="1:26" ht="14" x14ac:dyDescent="0.15">
      <c r="A13" s="2"/>
      <c r="B13" s="4" t="s">
        <v>22</v>
      </c>
      <c r="C13" s="5">
        <v>4</v>
      </c>
      <c r="D13" s="5">
        <v>0</v>
      </c>
      <c r="E13" s="5">
        <v>0</v>
      </c>
      <c r="F13" s="5">
        <v>0</v>
      </c>
      <c r="G13" s="5">
        <v>0</v>
      </c>
      <c r="H13" s="5">
        <f t="shared" si="0"/>
        <v>4</v>
      </c>
      <c r="I13" s="5" t="s">
        <v>24</v>
      </c>
    </row>
    <row r="14" spans="1:26" ht="14" x14ac:dyDescent="0.15">
      <c r="A14" s="2"/>
      <c r="B14" s="4" t="s">
        <v>23</v>
      </c>
      <c r="C14" s="5">
        <v>7</v>
      </c>
      <c r="D14" s="5">
        <v>0</v>
      </c>
      <c r="E14" s="5">
        <v>0</v>
      </c>
      <c r="F14" s="5">
        <v>0</v>
      </c>
      <c r="G14" s="5">
        <v>0</v>
      </c>
      <c r="H14" s="5">
        <f t="shared" si="0"/>
        <v>7</v>
      </c>
      <c r="I14" s="5" t="s">
        <v>24</v>
      </c>
    </row>
    <row r="15" spans="1:26" ht="14" x14ac:dyDescent="0.15">
      <c r="A15" s="2"/>
      <c r="B15" s="22" t="s">
        <v>25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f t="shared" si="0"/>
        <v>2</v>
      </c>
      <c r="I15" s="23" t="s">
        <v>63</v>
      </c>
      <c r="K15" s="24" t="s">
        <v>64</v>
      </c>
      <c r="L15" s="5"/>
    </row>
    <row r="16" spans="1:26" ht="14" x14ac:dyDescent="0.15">
      <c r="A16" s="2"/>
      <c r="B16" s="4"/>
    </row>
    <row r="17" spans="1:26" ht="14" x14ac:dyDescent="0.15">
      <c r="A17" s="2" t="s">
        <v>26</v>
      </c>
      <c r="B17" s="4" t="s">
        <v>27</v>
      </c>
      <c r="C17" s="5">
        <v>7</v>
      </c>
      <c r="D17" s="5">
        <v>0</v>
      </c>
      <c r="E17" s="5">
        <v>0</v>
      </c>
      <c r="F17" s="5">
        <v>0</v>
      </c>
      <c r="G17" s="5">
        <v>0</v>
      </c>
    </row>
    <row r="18" spans="1:26" ht="14" x14ac:dyDescent="0.1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8" x14ac:dyDescent="0.2">
      <c r="E19" s="11"/>
      <c r="F19" s="11"/>
      <c r="G19" s="12" t="s">
        <v>28</v>
      </c>
      <c r="H19" s="13">
        <f>SUM(C6:G17)</f>
        <v>102</v>
      </c>
      <c r="I19" s="1"/>
      <c r="J19" s="1"/>
    </row>
    <row r="20" spans="1:26" ht="18" x14ac:dyDescent="0.2">
      <c r="E20" s="11"/>
      <c r="F20" s="11"/>
      <c r="G20" s="12" t="s">
        <v>29</v>
      </c>
      <c r="H20" s="13">
        <f>H9</f>
        <v>20</v>
      </c>
      <c r="I20" s="1"/>
      <c r="J20" s="1"/>
    </row>
    <row r="21" spans="1:26" ht="18" x14ac:dyDescent="0.2">
      <c r="E21" s="11"/>
      <c r="F21" s="11"/>
      <c r="G21" s="12" t="s">
        <v>30</v>
      </c>
      <c r="H21" s="13">
        <f>SUM(C6:G15)-H9</f>
        <v>75</v>
      </c>
      <c r="I21" s="1"/>
      <c r="J21" s="1"/>
    </row>
    <row r="22" spans="1:26" ht="18" x14ac:dyDescent="0.2">
      <c r="G22" s="12" t="s">
        <v>31</v>
      </c>
      <c r="H22" s="13">
        <f>H19-H20</f>
        <v>82</v>
      </c>
      <c r="I22" s="1"/>
      <c r="J22" s="1"/>
    </row>
    <row r="23" spans="1:26" ht="14" x14ac:dyDescent="0.15">
      <c r="H23" s="1"/>
      <c r="I23" s="1"/>
      <c r="J23" s="1"/>
    </row>
    <row r="24" spans="1:26" ht="14" x14ac:dyDescent="0.15">
      <c r="H24" s="1"/>
      <c r="I24" s="1"/>
      <c r="J24" s="1"/>
    </row>
    <row r="25" spans="1:26" ht="19" x14ac:dyDescent="0.2">
      <c r="C25" s="14" t="s">
        <v>32</v>
      </c>
      <c r="D25" s="15"/>
      <c r="E25" s="15"/>
      <c r="F25" s="15"/>
      <c r="G25" s="15"/>
      <c r="H25" s="1"/>
      <c r="I25" s="1"/>
      <c r="J25" s="1"/>
    </row>
    <row r="26" spans="1:26" ht="17" x14ac:dyDescent="0.2">
      <c r="C26" s="16">
        <f>SUM(C6:C7,C10:C17)</f>
        <v>80</v>
      </c>
      <c r="D26" s="16">
        <f>SUM(D6:D7,D10:D17)</f>
        <v>2</v>
      </c>
      <c r="E26" s="16">
        <f>SUM(E6:E7,E10:E17)</f>
        <v>0</v>
      </c>
      <c r="F26" s="16">
        <f>SUM(F6:F7,F10:F17)</f>
        <v>0</v>
      </c>
      <c r="G26" s="16">
        <f>SUM(G6:G7,G10:G17)</f>
        <v>0</v>
      </c>
      <c r="H26" s="1"/>
      <c r="I26" s="1"/>
      <c r="J26" s="1"/>
    </row>
    <row r="27" spans="1:26" ht="14" x14ac:dyDescent="0.15">
      <c r="H27" s="1"/>
      <c r="I27" s="1"/>
      <c r="J27" s="1"/>
    </row>
    <row r="28" spans="1:26" ht="14" x14ac:dyDescent="0.15">
      <c r="H28" s="1"/>
      <c r="I28" s="1"/>
      <c r="J28" s="1"/>
    </row>
    <row r="29" spans="1:26" ht="14" x14ac:dyDescent="0.15">
      <c r="H29" s="1"/>
      <c r="I29" s="1"/>
      <c r="J29" s="1"/>
    </row>
    <row r="30" spans="1:26" ht="16.5" customHeight="1" x14ac:dyDescent="0.15"/>
    <row r="31" spans="1:26" ht="14" x14ac:dyDescent="0.15">
      <c r="B31" s="1" t="s">
        <v>33</v>
      </c>
    </row>
    <row r="33" spans="1:2" ht="14" x14ac:dyDescent="0.15">
      <c r="A33" s="9" t="s">
        <v>34</v>
      </c>
      <c r="B33" s="5" t="s">
        <v>35</v>
      </c>
    </row>
    <row r="34" spans="1:2" ht="14" x14ac:dyDescent="0.15">
      <c r="B34" s="5" t="s">
        <v>36</v>
      </c>
    </row>
    <row r="36" spans="1:2" ht="14" x14ac:dyDescent="0.15">
      <c r="A36" s="9" t="s">
        <v>37</v>
      </c>
      <c r="B36" s="5" t="s">
        <v>38</v>
      </c>
    </row>
    <row r="38" spans="1:2" ht="14" x14ac:dyDescent="0.15">
      <c r="A38" s="9" t="s">
        <v>39</v>
      </c>
      <c r="B38" s="5" t="s">
        <v>40</v>
      </c>
    </row>
    <row r="40" spans="1:2" ht="14" x14ac:dyDescent="0.15">
      <c r="A40" s="9" t="s">
        <v>41</v>
      </c>
      <c r="B40" s="5" t="s">
        <v>42</v>
      </c>
    </row>
    <row r="42" spans="1:2" ht="14" x14ac:dyDescent="0.15">
      <c r="A42" s="9" t="s">
        <v>43</v>
      </c>
      <c r="B42" s="5" t="s">
        <v>44</v>
      </c>
    </row>
    <row r="44" spans="1:2" ht="14" x14ac:dyDescent="0.15">
      <c r="A44" s="9" t="s">
        <v>45</v>
      </c>
      <c r="B44" s="5" t="s">
        <v>46</v>
      </c>
    </row>
    <row r="46" spans="1:2" ht="14" x14ac:dyDescent="0.15">
      <c r="A46" s="9" t="s">
        <v>47</v>
      </c>
      <c r="B46" s="5" t="s">
        <v>48</v>
      </c>
    </row>
    <row r="48" spans="1:2" ht="14" x14ac:dyDescent="0.15">
      <c r="A48" s="9" t="s">
        <v>49</v>
      </c>
      <c r="B48" s="5" t="s">
        <v>50</v>
      </c>
    </row>
    <row r="49" spans="2:2" ht="14" x14ac:dyDescent="0.15">
      <c r="B49" s="5" t="s">
        <v>51</v>
      </c>
    </row>
    <row r="50" spans="2:2" ht="14" x14ac:dyDescent="0.15">
      <c r="B50" s="5" t="s">
        <v>52</v>
      </c>
    </row>
    <row r="51" spans="2:2" ht="14" x14ac:dyDescent="0.15">
      <c r="B51" s="5" t="s">
        <v>53</v>
      </c>
    </row>
    <row r="52" spans="2:2" ht="14" x14ac:dyDescent="0.15">
      <c r="B52" s="5" t="s">
        <v>54</v>
      </c>
    </row>
    <row r="53" spans="2:2" ht="14" x14ac:dyDescent="0.15">
      <c r="B53" s="5" t="s">
        <v>55</v>
      </c>
    </row>
    <row r="54" spans="2:2" ht="14" x14ac:dyDescent="0.15">
      <c r="B54" s="5" t="s">
        <v>56</v>
      </c>
    </row>
    <row r="1048576" ht="12.75" customHeight="1" x14ac:dyDescent="0.15"/>
  </sheetData>
  <hyperlinks>
    <hyperlink ref="A33" r:id="rId1" xr:uid="{00000000-0004-0000-0000-000001000000}"/>
    <hyperlink ref="A36" r:id="rId2" xr:uid="{00000000-0004-0000-0000-000002000000}"/>
    <hyperlink ref="A38" r:id="rId3" xr:uid="{00000000-0004-0000-0000-000003000000}"/>
    <hyperlink ref="A40" r:id="rId4" xr:uid="{00000000-0004-0000-0000-000004000000}"/>
    <hyperlink ref="A42" r:id="rId5" xr:uid="{00000000-0004-0000-0000-000005000000}"/>
    <hyperlink ref="A44" r:id="rId6" location="d1e3172" xr:uid="{00000000-0004-0000-0000-000006000000}"/>
    <hyperlink ref="A46" r:id="rId7" xr:uid="{00000000-0004-0000-0000-000007000000}"/>
    <hyperlink ref="A48" r:id="rId8" xr:uid="{00000000-0004-0000-0000-000008000000}"/>
    <hyperlink ref="K15" r:id="rId9" display="https://www.cambridge.org/core/journals/earth-and-environmental-science-transactions-of-royal-society-of-edinburgh/article/abs/kleptothule-rasmusseni-gen-et-sp-nov-an-olenellinidlike-trilobite-from-the-sirius-passet-fauna-buen-formation-lower-cambrian-north-greenland/9400E1BEF4FB5B91B94F0FBC505A8D85" xr:uid="{C6F722DB-FBDD-3748-B4A5-F3442D21F84A}"/>
  </hyperlink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67"/>
  <sheetViews>
    <sheetView zoomScaleNormal="100" workbookViewId="0">
      <selection activeCell="G29" sqref="G29"/>
    </sheetView>
  </sheetViews>
  <sheetFormatPr baseColWidth="10" defaultColWidth="12.6640625" defaultRowHeight="13" x14ac:dyDescent="0.15"/>
  <cols>
    <col min="2" max="2" width="16.5" customWidth="1"/>
    <col min="9" max="9" width="19.83203125" customWidth="1"/>
  </cols>
  <sheetData>
    <row r="2" spans="1:27" ht="14" x14ac:dyDescent="0.15">
      <c r="D2" s="31" t="s">
        <v>65</v>
      </c>
      <c r="F2" s="30" t="s">
        <v>66</v>
      </c>
      <c r="H2" s="2"/>
    </row>
    <row r="3" spans="1:27" ht="14" x14ac:dyDescent="0.15">
      <c r="A3" s="17"/>
      <c r="C3" s="1" t="s">
        <v>2</v>
      </c>
      <c r="D3" s="1" t="s">
        <v>5</v>
      </c>
      <c r="E3" s="1" t="s">
        <v>6</v>
      </c>
      <c r="F3" s="1" t="s">
        <v>7</v>
      </c>
      <c r="G3" s="1" t="s">
        <v>57</v>
      </c>
      <c r="H3" s="3"/>
    </row>
    <row r="4" spans="1:27" ht="14" x14ac:dyDescent="0.15">
      <c r="A4" s="17"/>
    </row>
    <row r="5" spans="1:27" ht="14" x14ac:dyDescent="0.15">
      <c r="A5" s="17"/>
      <c r="B5" s="2" t="s">
        <v>9</v>
      </c>
      <c r="C5" s="4" t="s">
        <v>10</v>
      </c>
      <c r="D5" s="5">
        <v>2</v>
      </c>
      <c r="E5" s="5">
        <v>46</v>
      </c>
      <c r="F5" s="5">
        <v>0</v>
      </c>
      <c r="G5" s="5">
        <f t="shared" ref="G5:G14" si="0">SUM(D5:F5)</f>
        <v>48</v>
      </c>
      <c r="H5" s="5" t="s">
        <v>11</v>
      </c>
    </row>
    <row r="6" spans="1:27" ht="14" x14ac:dyDescent="0.15">
      <c r="A6" s="17"/>
      <c r="B6" s="2" t="s">
        <v>58</v>
      </c>
      <c r="C6" s="4" t="s">
        <v>13</v>
      </c>
      <c r="D6" s="5">
        <v>0</v>
      </c>
      <c r="E6" s="5">
        <v>1</v>
      </c>
      <c r="F6" s="5">
        <v>2</v>
      </c>
      <c r="G6" s="5">
        <f t="shared" si="0"/>
        <v>3</v>
      </c>
    </row>
    <row r="7" spans="1:27" ht="14" x14ac:dyDescent="0.15">
      <c r="A7" s="17"/>
      <c r="B7" s="2"/>
      <c r="C7" s="4"/>
      <c r="G7" s="5">
        <f t="shared" si="0"/>
        <v>0</v>
      </c>
    </row>
    <row r="8" spans="1:27" ht="14" x14ac:dyDescent="0.15">
      <c r="A8" s="18"/>
      <c r="B8" s="19" t="s">
        <v>14</v>
      </c>
      <c r="C8" s="20" t="s">
        <v>15</v>
      </c>
      <c r="D8" s="21">
        <v>0</v>
      </c>
      <c r="E8" s="21">
        <v>19</v>
      </c>
      <c r="F8" s="21">
        <v>1</v>
      </c>
      <c r="G8" s="5">
        <f t="shared" si="0"/>
        <v>20</v>
      </c>
      <c r="H8" s="21" t="s">
        <v>16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ht="14" x14ac:dyDescent="0.15">
      <c r="A9" s="17"/>
      <c r="B9" s="2" t="s">
        <v>17</v>
      </c>
      <c r="C9" s="4" t="s">
        <v>18</v>
      </c>
      <c r="D9" s="5">
        <v>1</v>
      </c>
      <c r="E9" s="5">
        <v>1</v>
      </c>
      <c r="F9" s="5">
        <v>1</v>
      </c>
      <c r="G9" s="5">
        <f t="shared" si="0"/>
        <v>3</v>
      </c>
      <c r="H9" s="5" t="s">
        <v>19</v>
      </c>
    </row>
    <row r="10" spans="1:27" ht="14" x14ac:dyDescent="0.15">
      <c r="A10" s="17"/>
      <c r="B10" s="2" t="s">
        <v>12</v>
      </c>
      <c r="C10" s="4" t="s">
        <v>20</v>
      </c>
      <c r="D10" s="5">
        <v>3</v>
      </c>
      <c r="E10" s="5">
        <v>4</v>
      </c>
      <c r="F10" s="5">
        <v>0</v>
      </c>
      <c r="G10" s="5">
        <f t="shared" si="0"/>
        <v>7</v>
      </c>
      <c r="H10" s="23" t="s">
        <v>61</v>
      </c>
      <c r="J10" s="24" t="s">
        <v>62</v>
      </c>
    </row>
    <row r="11" spans="1:27" ht="14" x14ac:dyDescent="0.15">
      <c r="A11" s="17"/>
      <c r="B11" s="2"/>
      <c r="C11" s="4" t="s">
        <v>21</v>
      </c>
      <c r="D11" s="5">
        <v>1</v>
      </c>
      <c r="E11" s="5">
        <v>1</v>
      </c>
      <c r="F11" s="5">
        <v>0</v>
      </c>
      <c r="G11" s="5">
        <f t="shared" si="0"/>
        <v>2</v>
      </c>
      <c r="H11" s="23" t="s">
        <v>60</v>
      </c>
    </row>
    <row r="12" spans="1:27" ht="14" x14ac:dyDescent="0.15">
      <c r="A12" s="17"/>
      <c r="B12" s="2"/>
      <c r="C12" s="4" t="s">
        <v>22</v>
      </c>
      <c r="D12" s="5">
        <v>2</v>
      </c>
      <c r="E12" s="5">
        <v>1</v>
      </c>
      <c r="F12" s="5">
        <v>0</v>
      </c>
      <c r="G12" s="5">
        <f t="shared" si="0"/>
        <v>3</v>
      </c>
      <c r="H12" s="5" t="s">
        <v>24</v>
      </c>
    </row>
    <row r="13" spans="1:27" ht="14" x14ac:dyDescent="0.15">
      <c r="A13" s="17"/>
      <c r="B13" s="2"/>
      <c r="C13" s="4" t="s">
        <v>23</v>
      </c>
      <c r="D13" s="5">
        <v>2</v>
      </c>
      <c r="E13" s="5">
        <v>4</v>
      </c>
      <c r="F13" s="5">
        <v>0</v>
      </c>
      <c r="G13" s="5">
        <f t="shared" si="0"/>
        <v>6</v>
      </c>
      <c r="H13" s="5" t="s">
        <v>24</v>
      </c>
    </row>
    <row r="14" spans="1:27" ht="14" x14ac:dyDescent="0.15">
      <c r="A14" s="17"/>
      <c r="B14" s="2"/>
      <c r="C14" s="4" t="s">
        <v>25</v>
      </c>
      <c r="D14" s="5">
        <v>0</v>
      </c>
      <c r="E14" s="5">
        <v>2</v>
      </c>
      <c r="F14" s="5">
        <v>0</v>
      </c>
      <c r="G14" s="5">
        <f t="shared" si="0"/>
        <v>2</v>
      </c>
      <c r="H14" s="23" t="s">
        <v>63</v>
      </c>
      <c r="J14" s="24" t="s">
        <v>64</v>
      </c>
    </row>
    <row r="15" spans="1:27" ht="14" x14ac:dyDescent="0.15">
      <c r="A15" s="17"/>
      <c r="B15" s="2"/>
      <c r="C15" s="4"/>
    </row>
    <row r="16" spans="1:27" s="29" customFormat="1" ht="15" thickBot="1" x14ac:dyDescent="0.2">
      <c r="A16" s="25"/>
      <c r="B16" s="26" t="s">
        <v>26</v>
      </c>
      <c r="C16" s="27" t="s">
        <v>27</v>
      </c>
      <c r="D16" s="28">
        <v>1</v>
      </c>
      <c r="E16" s="28">
        <v>5</v>
      </c>
      <c r="F16" s="28">
        <v>1</v>
      </c>
    </row>
    <row r="17" spans="1:8" ht="14" x14ac:dyDescent="0.15">
      <c r="A17" s="17"/>
    </row>
    <row r="18" spans="1:8" ht="14" x14ac:dyDescent="0.15">
      <c r="A18" s="17"/>
    </row>
    <row r="19" spans="1:8" ht="18" x14ac:dyDescent="0.2">
      <c r="A19" s="17"/>
      <c r="E19" s="11"/>
      <c r="F19" s="11"/>
      <c r="G19" s="12" t="s">
        <v>28</v>
      </c>
      <c r="H19" s="13">
        <f>SUM(D5:F16)</f>
        <v>101</v>
      </c>
    </row>
    <row r="20" spans="1:8" ht="18" x14ac:dyDescent="0.2">
      <c r="A20" s="17"/>
      <c r="E20" s="11"/>
      <c r="F20" s="11"/>
      <c r="G20" s="12" t="s">
        <v>29</v>
      </c>
      <c r="H20" s="13">
        <f>SUM(D8:F8)</f>
        <v>20</v>
      </c>
    </row>
    <row r="21" spans="1:8" ht="18" x14ac:dyDescent="0.2">
      <c r="A21" s="17"/>
      <c r="E21" s="11"/>
      <c r="F21" s="11"/>
      <c r="G21" s="12" t="s">
        <v>30</v>
      </c>
      <c r="H21" s="13">
        <f>SUM(D5:F6,D9:F14)</f>
        <v>74</v>
      </c>
    </row>
    <row r="22" spans="1:8" ht="18" x14ac:dyDescent="0.2">
      <c r="A22" s="17"/>
      <c r="G22" s="12" t="s">
        <v>31</v>
      </c>
      <c r="H22" s="13">
        <f>SUM(D5:F16)-SUM(D8:F8)</f>
        <v>81</v>
      </c>
    </row>
    <row r="23" spans="1:8" ht="14" x14ac:dyDescent="0.15">
      <c r="A23" s="17"/>
      <c r="H23" s="1"/>
    </row>
    <row r="24" spans="1:8" ht="14" x14ac:dyDescent="0.15">
      <c r="A24" s="17"/>
      <c r="H24" s="1"/>
    </row>
    <row r="25" spans="1:8" ht="19" x14ac:dyDescent="0.2">
      <c r="A25" s="17"/>
      <c r="C25" s="14" t="s">
        <v>32</v>
      </c>
      <c r="D25" s="15"/>
      <c r="E25" s="15"/>
      <c r="F25" s="15"/>
      <c r="G25" s="15"/>
      <c r="H25" s="1"/>
    </row>
    <row r="26" spans="1:8" ht="17" x14ac:dyDescent="0.2">
      <c r="A26" s="17"/>
      <c r="C26" s="16"/>
      <c r="D26" s="16">
        <f>SUM(D5:D6,D9:D16)</f>
        <v>12</v>
      </c>
      <c r="E26" s="16">
        <f>SUM(E5:E6,E9:E16)</f>
        <v>65</v>
      </c>
      <c r="F26" s="16">
        <f>SUM(F5:F6,F9:F16)</f>
        <v>4</v>
      </c>
      <c r="G26" s="16"/>
      <c r="H26" s="1"/>
    </row>
    <row r="27" spans="1:8" ht="14" x14ac:dyDescent="0.15">
      <c r="A27" s="17"/>
    </row>
    <row r="28" spans="1:8" ht="19" x14ac:dyDescent="0.2">
      <c r="A28" s="17"/>
      <c r="C28" s="14" t="s">
        <v>59</v>
      </c>
      <c r="D28" s="15"/>
      <c r="E28" s="15"/>
      <c r="F28" s="15"/>
      <c r="G28" s="15"/>
    </row>
    <row r="29" spans="1:8" ht="17" x14ac:dyDescent="0.2">
      <c r="A29" s="17"/>
      <c r="C29" s="16"/>
      <c r="D29" s="16">
        <f>SUM(D6,D9:D16)</f>
        <v>10</v>
      </c>
      <c r="E29" s="16">
        <f>SUM(E6,E9:E16)</f>
        <v>19</v>
      </c>
      <c r="F29" s="16">
        <f>SUM(F6,F9:F16)</f>
        <v>4</v>
      </c>
      <c r="G29" s="16"/>
    </row>
    <row r="30" spans="1:8" ht="14" x14ac:dyDescent="0.15">
      <c r="A30" s="17"/>
    </row>
    <row r="31" spans="1:8" ht="14" x14ac:dyDescent="0.15">
      <c r="A31" s="17"/>
    </row>
    <row r="32" spans="1:8" ht="14" x14ac:dyDescent="0.15">
      <c r="A32" s="17"/>
    </row>
    <row r="33" spans="1:1" ht="14" x14ac:dyDescent="0.15">
      <c r="A33" s="17"/>
    </row>
    <row r="34" spans="1:1" ht="14" x14ac:dyDescent="0.15">
      <c r="A34" s="17"/>
    </row>
    <row r="35" spans="1:1" ht="14" x14ac:dyDescent="0.15">
      <c r="A35" s="17"/>
    </row>
    <row r="36" spans="1:1" ht="14" x14ac:dyDescent="0.15">
      <c r="A36" s="17"/>
    </row>
    <row r="37" spans="1:1" ht="14" x14ac:dyDescent="0.15">
      <c r="A37" s="17"/>
    </row>
    <row r="38" spans="1:1" ht="14" x14ac:dyDescent="0.15">
      <c r="A38" s="17"/>
    </row>
    <row r="39" spans="1:1" ht="14" x14ac:dyDescent="0.15">
      <c r="A39" s="17"/>
    </row>
    <row r="40" spans="1:1" ht="14" x14ac:dyDescent="0.15">
      <c r="A40" s="17"/>
    </row>
    <row r="41" spans="1:1" ht="14" x14ac:dyDescent="0.15">
      <c r="A41" s="17"/>
    </row>
    <row r="42" spans="1:1" ht="14" x14ac:dyDescent="0.15">
      <c r="A42" s="17"/>
    </row>
    <row r="43" spans="1:1" ht="14" x14ac:dyDescent="0.15">
      <c r="A43" s="17"/>
    </row>
    <row r="44" spans="1:1" ht="14" x14ac:dyDescent="0.15">
      <c r="A44" s="17"/>
    </row>
    <row r="45" spans="1:1" ht="14" x14ac:dyDescent="0.15">
      <c r="A45" s="17"/>
    </row>
    <row r="46" spans="1:1" ht="14" x14ac:dyDescent="0.15">
      <c r="A46" s="17"/>
    </row>
    <row r="47" spans="1:1" ht="14" x14ac:dyDescent="0.15">
      <c r="A47" s="17"/>
    </row>
    <row r="48" spans="1:1" ht="14" x14ac:dyDescent="0.15">
      <c r="A48" s="17"/>
    </row>
    <row r="49" spans="1:1" ht="14" x14ac:dyDescent="0.15">
      <c r="A49" s="17"/>
    </row>
    <row r="50" spans="1:1" ht="14" x14ac:dyDescent="0.15">
      <c r="A50" s="17"/>
    </row>
    <row r="51" spans="1:1" ht="14" x14ac:dyDescent="0.15">
      <c r="A51" s="17"/>
    </row>
    <row r="52" spans="1:1" ht="14" x14ac:dyDescent="0.15">
      <c r="A52" s="17"/>
    </row>
    <row r="53" spans="1:1" ht="14" x14ac:dyDescent="0.15">
      <c r="A53" s="17"/>
    </row>
    <row r="54" spans="1:1" ht="14" x14ac:dyDescent="0.15">
      <c r="A54" s="17"/>
    </row>
    <row r="55" spans="1:1" ht="14" x14ac:dyDescent="0.15">
      <c r="A55" s="17"/>
    </row>
    <row r="56" spans="1:1" ht="14" x14ac:dyDescent="0.15">
      <c r="A56" s="17"/>
    </row>
    <row r="57" spans="1:1" ht="14" x14ac:dyDescent="0.15">
      <c r="A57" s="17"/>
    </row>
    <row r="58" spans="1:1" ht="14" x14ac:dyDescent="0.15">
      <c r="A58" s="17"/>
    </row>
    <row r="59" spans="1:1" ht="14" x14ac:dyDescent="0.15">
      <c r="A59" s="17"/>
    </row>
    <row r="60" spans="1:1" ht="14" x14ac:dyDescent="0.15">
      <c r="A60" s="17"/>
    </row>
    <row r="61" spans="1:1" ht="14" x14ac:dyDescent="0.15">
      <c r="A61" s="17"/>
    </row>
    <row r="62" spans="1:1" ht="14" x14ac:dyDescent="0.15">
      <c r="A62" s="17"/>
    </row>
    <row r="63" spans="1:1" ht="14" x14ac:dyDescent="0.15">
      <c r="A63" s="17"/>
    </row>
    <row r="64" spans="1:1" ht="14" x14ac:dyDescent="0.15">
      <c r="A64" s="17"/>
    </row>
    <row r="65" spans="1:1" ht="14" x14ac:dyDescent="0.15">
      <c r="A65" s="17"/>
    </row>
    <row r="66" spans="1:1" ht="14" x14ac:dyDescent="0.15">
      <c r="A66" s="17"/>
    </row>
    <row r="67" spans="1:1" ht="14" x14ac:dyDescent="0.15">
      <c r="A67" s="17"/>
    </row>
  </sheetData>
  <hyperlinks>
    <hyperlink ref="J14" r:id="rId1" display="https://www.cambridge.org/core/journals/earth-and-environmental-science-transactions-of-royal-society-of-edinburgh/article/abs/kleptothule-rasmusseni-gen-et-sp-nov-an-olenellinidlike-trilobite-from-the-sirius-passet-fauna-buen-formation-lower-cambrian-north-greenland/9400E1BEF4FB5B91B94F0FBC505A8D85" xr:uid="{88F5E8B3-5B3D-5740-B9DA-473B72C20B7D}"/>
  </hyperlink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S1 - Taphonomic</vt:lpstr>
      <vt:lpstr>Table S2 - Preservational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Sean McMahon</cp:lastModifiedBy>
  <cp:revision>2</cp:revision>
  <dcterms:created xsi:type="dcterms:W3CDTF">2026-10-03T15:40:25Z</dcterms:created>
  <dcterms:modified xsi:type="dcterms:W3CDTF">2026-10-03T15:42:54Z</dcterms:modified>
  <dc:language>en-GB</dc:language>
</cp:coreProperties>
</file>