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phonomic state" sheetId="1" r:id="rId5"/>
    <sheet state="visible" name="Preservational state" sheetId="2" r:id="rId6"/>
  </sheets>
  <definedNames/>
  <calcPr/>
</workbook>
</file>

<file path=xl/sharedStrings.xml><?xml version="1.0" encoding="utf-8"?>
<sst xmlns="http://schemas.openxmlformats.org/spreadsheetml/2006/main" count="103" uniqueCount="67">
  <si>
    <t>GOOD PRESERVATION</t>
  </si>
  <si>
    <t>BAD PRESERVATION</t>
  </si>
  <si>
    <t>NEW NAMES OF STATES</t>
  </si>
  <si>
    <t>Taxon</t>
  </si>
  <si>
    <t># in State 1</t>
  </si>
  <si>
    <t># in State 2</t>
  </si>
  <si>
    <t># in State 3</t>
  </si>
  <si>
    <t># in State 4</t>
  </si>
  <si>
    <t># in State 5</t>
  </si>
  <si>
    <t>count</t>
  </si>
  <si>
    <t>OLD NAMES OF STATES</t>
  </si>
  <si>
    <t>Count</t>
  </si>
  <si>
    <t>Bivalved</t>
  </si>
  <si>
    <t>Isoxys</t>
  </si>
  <si>
    <t>Thin carapace, spines were sclerotized</t>
  </si>
  <si>
    <t>arthropods</t>
  </si>
  <si>
    <t>Pauloterminus</t>
  </si>
  <si>
    <t>branchiopods</t>
  </si>
  <si>
    <t>Segmented</t>
  </si>
  <si>
    <t>Buenellus</t>
  </si>
  <si>
    <t>Calcified</t>
  </si>
  <si>
    <t>multipodus</t>
  </si>
  <si>
    <t>Kiisortoqia</t>
  </si>
  <si>
    <t>Weakly sclerotized</t>
  </si>
  <si>
    <t>Arthroaspis</t>
  </si>
  <si>
    <t>Sclerotized in some parts</t>
  </si>
  <si>
    <t>https://link.springer.com/article/10.1186/1471-2148-13-99#Fig7</t>
  </si>
  <si>
    <t>Buenaspis</t>
  </si>
  <si>
    <t>"Soft bodied trilobite"</t>
  </si>
  <si>
    <t>Molaria</t>
  </si>
  <si>
    <t>No notes - but see Peel below</t>
  </si>
  <si>
    <t>Campanamuta</t>
  </si>
  <si>
    <t>No notes</t>
  </si>
  <si>
    <t>Kleptothule</t>
  </si>
  <si>
    <t>"Some evidence... lightly mineralised"</t>
  </si>
  <si>
    <t>Unidentified</t>
  </si>
  <si>
    <t>Arthropoda sp.</t>
  </si>
  <si>
    <t>Total specimens =</t>
  </si>
  <si>
    <t>Total biomineralizing (from identified taxa) =</t>
  </si>
  <si>
    <t>Total non-biomineralizing (from identified taxa) =</t>
  </si>
  <si>
    <t>Total non-biomineralizing (including unidentified taxa)</t>
  </si>
  <si>
    <t>Total non-biomineralizing in each state</t>
  </si>
  <si>
    <t>Comments</t>
  </si>
  <si>
    <t>Babcock &amp; Peel</t>
  </si>
  <si>
    <t>Buenellus is one of the most common faunal elements at Sirius Passet.</t>
  </si>
  <si>
    <t>"Isolated sclerites are rare in the MGUH collection due to selective collecting"</t>
  </si>
  <si>
    <t>Stein 2010</t>
  </si>
  <si>
    <t>Kiisortoqia was sclerotized, but "sclerotizaton seems to have been comparatively weak"</t>
  </si>
  <si>
    <t>Vannier and Chen 2000</t>
  </si>
  <si>
    <t>Isoxys had a 'thin carapace" and spiny processes that were "most probable sclerotized"</t>
  </si>
  <si>
    <t>Taylor 2003</t>
  </si>
  <si>
    <t>Pauloterminus: of 66 available specimens, 55 were "well preserved".</t>
  </si>
  <si>
    <t>Budd 2003</t>
  </si>
  <si>
    <t>Beunaspis is referred to the nektaspis or "soft-bodied trilobites"</t>
  </si>
  <si>
    <t>Budd 2011</t>
  </si>
  <si>
    <t>Campanamuta is definitely not calcified</t>
  </si>
  <si>
    <t>Budd 2011b</t>
  </si>
  <si>
    <t>Kleptohule: "There is some evidence that the exoskeleton was lightly mineralised"</t>
  </si>
  <si>
    <t>Peel 2017</t>
  </si>
  <si>
    <t>Total non-biomineralizing in each state, excluding Isoxys</t>
  </si>
  <si>
    <t>Sirius Passet</t>
  </si>
  <si>
    <t>taxa with originally calcareous exoskeletons often retain</t>
  </si>
  <si>
    <t>high relief, the latter including the trilobite Buenellus</t>
  </si>
  <si>
    <t>higginsi Blaker, 1988, the armoured Halkieria evangelista</t>
  </si>
  <si>
    <t>Conway Morris &amp; Peel, 1995 and hyoliths (Peel 2010), as</t>
  </si>
  <si>
    <t>well as individual spicules from the diverse assemblage of</t>
  </si>
  <si>
    <t>sponges (Botting et al. 2015, Botting &amp; Peel 2016)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</si>
</sst>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sz val="14.0"/>
      <color theme="1"/>
      <name val="Arial"/>
      <scheme val="minor"/>
    </font>
    <font>
      <b/>
      <color rgb="FFFF00FF"/>
      <name val="Arial"/>
      <scheme val="minor"/>
    </font>
    <font>
      <b/>
      <color rgb="FFFF0000"/>
      <name val="Arial"/>
      <scheme val="minor"/>
    </font>
    <font>
      <i/>
      <color theme="1"/>
      <name val="Arial"/>
      <scheme val="minor"/>
    </font>
    <font>
      <u/>
      <color rgb="FF0000FF"/>
    </font>
    <font>
      <sz val="14.0"/>
      <color theme="1"/>
      <name val="Arial"/>
      <scheme val="minor"/>
    </font>
    <font>
      <b/>
      <sz val="15.0"/>
      <color theme="1"/>
      <name val="Arial"/>
      <scheme val="minor"/>
    </font>
    <font>
      <b/>
      <sz val="13.0"/>
      <color theme="1"/>
      <name val="Arial"/>
      <scheme val="minor"/>
    </font>
    <font>
      <u/>
      <color rgb="FF0000FF"/>
    </font>
  </fonts>
  <fills count="4">
    <fill>
      <patternFill patternType="none"/>
    </fill>
    <fill>
      <patternFill patternType="lightGray"/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</fills>
  <borders count="3">
    <border/>
    <border>
      <top style="thick">
        <color rgb="FF000000"/>
      </top>
    </border>
    <border>
      <bottom style="thick">
        <color rgb="FF000000"/>
      </bottom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/>
    </xf>
    <xf borderId="0" fillId="0" fontId="1" numFmtId="0" xfId="0" applyAlignment="1" applyFont="1">
      <alignment horizontal="right"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1" numFmtId="0" xfId="0" applyAlignment="1" applyFont="1">
      <alignment horizontal="right"/>
    </xf>
    <xf borderId="0" fillId="0" fontId="6" numFmtId="0" xfId="0" applyFont="1"/>
    <xf borderId="0" fillId="2" fontId="2" numFmtId="0" xfId="0" applyAlignment="1" applyFill="1" applyFont="1">
      <alignment horizontal="left"/>
    </xf>
    <xf borderId="0" fillId="3" fontId="1" numFmtId="0" xfId="0" applyAlignment="1" applyFill="1" applyFont="1">
      <alignment horizontal="right" readingOrder="0"/>
    </xf>
    <xf borderId="0" fillId="2" fontId="1" numFmtId="0" xfId="0" applyAlignment="1" applyFill="1" applyFont="1">
      <alignment horizontal="right" readingOrder="0"/>
    </xf>
    <xf borderId="0" fillId="3" fontId="6" numFmtId="0" xfId="0" applyAlignment="1" applyFill="1" applyFont="1">
      <alignment readingOrder="0"/>
    </xf>
    <xf borderId="0" fillId="2" fontId="6" numFmtId="0" xfId="0" applyAlignment="1" applyFill="1" applyFont="1">
      <alignment readingOrder="0"/>
    </xf>
    <xf borderId="0" fillId="3" fontId="2" numFmtId="0" xfId="0" applyAlignment="1" applyFill="1" applyFont="1">
      <alignment readingOrder="0"/>
    </xf>
    <xf borderId="0" fillId="2" fontId="2" numFmtId="0" xfId="0" applyAlignment="1" applyFill="1" applyFont="1">
      <alignment readingOrder="0"/>
    </xf>
    <xf borderId="0" fillId="2" fontId="2" numFmtId="0" xfId="0" applyFill="1" applyFont="1"/>
    <xf borderId="0" fillId="3" fontId="2" numFmtId="0" xfId="0" applyFill="1" applyFont="1"/>
    <xf borderId="0" fillId="0" fontId="7" numFmtId="0" xfId="0" applyAlignment="1" applyFont="1">
      <alignment readingOrder="0"/>
    </xf>
    <xf borderId="1" fillId="0" fontId="2" numFmtId="0" xfId="0" applyBorder="1" applyFont="1"/>
    <xf borderId="0" fillId="0" fontId="8" numFmtId="0" xfId="0" applyFont="1"/>
    <xf borderId="0" fillId="0" fontId="3" numFmtId="0" xfId="0" applyAlignment="1" applyFont="1">
      <alignment horizontal="right" readingOrder="0"/>
    </xf>
    <xf borderId="0" fillId="0" fontId="3" numFmtId="0" xfId="0" applyFont="1"/>
    <xf borderId="0" fillId="0" fontId="1" numFmtId="0" xfId="0" applyFont="1"/>
    <xf borderId="2" fillId="0" fontId="9" numFmtId="0" xfId="0" applyAlignment="1" applyBorder="1" applyFont="1">
      <alignment readingOrder="0"/>
    </xf>
    <xf borderId="2" fillId="0" fontId="2" numFmtId="0" xfId="0" applyBorder="1" applyFont="1"/>
    <xf borderId="0" fillId="0" fontId="10" numFmtId="0" xfId="0" applyFont="1"/>
    <xf borderId="0" fillId="0" fontId="1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link.springer.com/article/10.1186/1471-2148-13-99" TargetMode="External"/><Relationship Id="rId2" Type="http://schemas.openxmlformats.org/officeDocument/2006/relationships/hyperlink" Target="https://search.informit.org/doi/pdf/10.3316/informit.219894361622173" TargetMode="External"/><Relationship Id="rId3" Type="http://schemas.openxmlformats.org/officeDocument/2006/relationships/hyperlink" Target="https://academic.oup.com/zoolinnean/article/158/3/477/3798454" TargetMode="External"/><Relationship Id="rId4" Type="http://schemas.openxmlformats.org/officeDocument/2006/relationships/hyperlink" Target="https://onlinelibrary.wiley.com/doi/pdf/10.1080/002411600750053862" TargetMode="External"/><Relationship Id="rId10" Type="http://schemas.openxmlformats.org/officeDocument/2006/relationships/drawing" Target="../drawings/drawing1.xml"/><Relationship Id="rId9" Type="http://schemas.openxmlformats.org/officeDocument/2006/relationships/hyperlink" Target="http://www.geology.cz/bulletin/fulltext/1658_Peel_170803.pdf" TargetMode="External"/><Relationship Id="rId5" Type="http://schemas.openxmlformats.org/officeDocument/2006/relationships/hyperlink" Target="https://doi.org/10.1111/1475-4983.00229" TargetMode="External"/><Relationship Id="rId6" Type="http://schemas.openxmlformats.org/officeDocument/2006/relationships/hyperlink" Target="https://d1wqtxts1xzle7.cloudfront.net/51044390/A_nektaspid_arthropod_from_the_Early_Cam20161224-10339-jclwlu-libre.pdf?1482613566=&amp;response-content-disposition=inline%3B+filename%3DA_nektaspid_arthropod_from_the_Early_Cam.pdf&amp;Expires=1745330999&amp;Signature=WnXNEBA22Oq76iYSjTmNHwOq0CpojS3fTaQuY~uobkVQ8zFdULdIXA65olW2qLBf8IiDsP6nSilQBipYWLI--EIF5y6qkqsFFzFshzdphvFiyJD8wpSY~SwGU9EefD4V5ulHlplu82Ai6QZ~s7sVNiDOR5Jm8O5tJObRV1j8XOC~Hm4CwqKEOny~RkqcHS9W6k9dv514SJDm92sQmohxVGvSX5QiDheTmpbxZnnDnGNCOGOkRMgzjMSXLNuZbATjZIBGGiXeXQT4s7-dpyc1Wy0BF8o8FMKN4PT9jD8~ZZiDxt8b5bkv4TN2dbca4LpNDgc09MHQS1SrXtr1Sr0xGw__&amp;Key-Pair-Id=APKAJLOHF5GGSLRBV4ZA" TargetMode="External"/><Relationship Id="rId7" Type="http://schemas.openxmlformats.org/officeDocument/2006/relationships/hyperlink" Target="https://www.tandfonline.com/doi/full/10.1080/14772019.2010.492644" TargetMode="External"/><Relationship Id="rId8" Type="http://schemas.openxmlformats.org/officeDocument/2006/relationships/hyperlink" Target="https://www.cambridge.org/core/journals/earth-and-environmental-science-transactions-of-royal-society-of-edinburgh/article/abs/kleptothule-rasmusseni-gen-et-sp-nov-an-olenellinidlike-trilobite-from-the-sirius-passet-fauna-buen-formation-lower-cambrian-north-greenland/9400E1BEF4FB5B91B94F0FBC505A8D85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link.springer.com/article/10.1186/1471-2148-13-99" TargetMode="External"/><Relationship Id="rId2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5"/>
    <col customWidth="1" min="8" max="8" width="9.25"/>
  </cols>
  <sheetData>
    <row r="3" ht="16.5" customHeight="1">
      <c r="C3" s="1" t="s">
        <v>0</v>
      </c>
      <c r="G3" s="3" t="s">
        <v>1</v>
      </c>
    </row>
    <row r="4">
      <c r="B4" s="1"/>
      <c r="C4" s="4">
        <v>5.0</v>
      </c>
      <c r="D4" s="4">
        <v>4.0</v>
      </c>
      <c r="E4" s="4">
        <v>3.0</v>
      </c>
      <c r="F4" s="4">
        <v>2.0</v>
      </c>
      <c r="G4" s="4">
        <v>1.0</v>
      </c>
      <c r="H4" s="1"/>
      <c r="I4" s="5" t="s">
        <v>2</v>
      </c>
    </row>
    <row r="5">
      <c r="B5" s="1" t="s">
        <v>3</v>
      </c>
      <c r="C5" s="1" t="s">
        <v>4</v>
      </c>
      <c r="D5" s="1" t="s">
        <v>5</v>
      </c>
      <c r="E5" s="1" t="s">
        <v>6</v>
      </c>
      <c r="F5" s="1" t="s">
        <v>7</v>
      </c>
      <c r="G5" s="1" t="s">
        <v>8</v>
      </c>
      <c r="H5" s="1" t="s">
        <v>9</v>
      </c>
      <c r="I5" s="6" t="s">
        <v>10</v>
      </c>
    </row>
    <row r="7">
      <c r="A7" s="3" t="s">
        <v>12</v>
      </c>
      <c r="B7" s="7" t="s">
        <v>13</v>
      </c>
      <c r="C7" s="8">
        <v>47.0</v>
      </c>
      <c r="D7" s="8">
        <v>1.0</v>
      </c>
      <c r="E7" s="8">
        <v>0.0</v>
      </c>
      <c r="F7" s="8">
        <v>0.0</v>
      </c>
      <c r="G7" s="8">
        <v>0.0</v>
      </c>
      <c r="H7" s="9">
        <f t="shared" ref="H7:H8" si="1">SUM(C7:G7)</f>
        <v>48</v>
      </c>
      <c r="I7" s="8" t="s">
        <v>14</v>
      </c>
    </row>
    <row r="8">
      <c r="A8" s="3" t="s">
        <v>15</v>
      </c>
      <c r="B8" s="7" t="s">
        <v>16</v>
      </c>
      <c r="C8" s="8">
        <v>3.0</v>
      </c>
      <c r="D8" s="8">
        <v>0.0</v>
      </c>
      <c r="E8" s="8">
        <v>0.0</v>
      </c>
      <c r="F8" s="8">
        <v>0.0</v>
      </c>
      <c r="G8" s="8">
        <v>0.0</v>
      </c>
      <c r="H8" s="9">
        <f t="shared" si="1"/>
        <v>3</v>
      </c>
    </row>
    <row r="9">
      <c r="A9" s="10"/>
      <c r="B9" s="11"/>
    </row>
    <row r="10">
      <c r="A10" s="13" t="s">
        <v>18</v>
      </c>
      <c r="B10" s="15" t="s">
        <v>19</v>
      </c>
      <c r="C10" s="17">
        <v>11.0</v>
      </c>
      <c r="D10" s="17">
        <v>2.0</v>
      </c>
      <c r="E10" s="17">
        <v>2.0</v>
      </c>
      <c r="F10" s="17">
        <v>0.0</v>
      </c>
      <c r="G10" s="17">
        <v>5.0</v>
      </c>
      <c r="H10" s="20">
        <f t="shared" ref="H10:H16" si="2">SUM(C10:G10)</f>
        <v>20</v>
      </c>
      <c r="I10" s="17" t="s">
        <v>20</v>
      </c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>
      <c r="A11" s="3" t="s">
        <v>21</v>
      </c>
      <c r="B11" s="7" t="s">
        <v>22</v>
      </c>
      <c r="C11" s="8">
        <v>2.0</v>
      </c>
      <c r="D11" s="8">
        <v>1.0</v>
      </c>
      <c r="E11" s="8">
        <v>0.0</v>
      </c>
      <c r="F11" s="8">
        <v>0.0</v>
      </c>
      <c r="G11" s="8">
        <v>0.0</v>
      </c>
      <c r="H11" s="9">
        <f t="shared" si="2"/>
        <v>3</v>
      </c>
      <c r="I11" s="8" t="s">
        <v>23</v>
      </c>
    </row>
    <row r="12">
      <c r="A12" s="3" t="s">
        <v>15</v>
      </c>
      <c r="B12" s="7" t="s">
        <v>24</v>
      </c>
      <c r="C12" s="8">
        <v>6.0</v>
      </c>
      <c r="D12" s="8">
        <v>0.0</v>
      </c>
      <c r="E12" s="8">
        <v>0.0</v>
      </c>
      <c r="F12" s="8">
        <v>0.0</v>
      </c>
      <c r="G12" s="8">
        <v>0.0</v>
      </c>
      <c r="H12" s="9">
        <f t="shared" si="2"/>
        <v>6</v>
      </c>
      <c r="I12" s="8" t="s">
        <v>25</v>
      </c>
      <c r="K12" s="21" t="s">
        <v>26</v>
      </c>
    </row>
    <row r="13">
      <c r="A13" s="10"/>
      <c r="B13" s="7" t="s">
        <v>27</v>
      </c>
      <c r="C13" s="8">
        <v>2.0</v>
      </c>
      <c r="D13" s="8">
        <v>0.0</v>
      </c>
      <c r="E13" s="8">
        <v>0.0</v>
      </c>
      <c r="F13" s="8">
        <v>0.0</v>
      </c>
      <c r="G13" s="8">
        <v>0.0</v>
      </c>
      <c r="H13" s="9">
        <f t="shared" si="2"/>
        <v>2</v>
      </c>
      <c r="I13" s="8" t="s">
        <v>28</v>
      </c>
    </row>
    <row r="14">
      <c r="A14" s="10"/>
      <c r="B14" s="7" t="s">
        <v>29</v>
      </c>
      <c r="C14" s="8">
        <v>4.0</v>
      </c>
      <c r="D14" s="8">
        <v>0.0</v>
      </c>
      <c r="E14" s="8">
        <v>0.0</v>
      </c>
      <c r="F14" s="8">
        <v>0.0</v>
      </c>
      <c r="G14" s="8">
        <v>0.0</v>
      </c>
      <c r="H14" s="9">
        <f t="shared" si="2"/>
        <v>4</v>
      </c>
      <c r="I14" s="8" t="s">
        <v>30</v>
      </c>
    </row>
    <row r="15">
      <c r="A15" s="10"/>
      <c r="B15" s="7" t="s">
        <v>31</v>
      </c>
      <c r="C15" s="8">
        <v>7.0</v>
      </c>
      <c r="D15" s="8">
        <v>0.0</v>
      </c>
      <c r="E15" s="8">
        <v>0.0</v>
      </c>
      <c r="F15" s="8">
        <v>0.0</v>
      </c>
      <c r="G15" s="8">
        <v>0.0</v>
      </c>
      <c r="H15" s="9">
        <f t="shared" si="2"/>
        <v>7</v>
      </c>
      <c r="I15" s="8" t="s">
        <v>32</v>
      </c>
    </row>
    <row r="16">
      <c r="A16" s="10"/>
      <c r="B16" s="7" t="s">
        <v>33</v>
      </c>
      <c r="C16" s="8">
        <v>2.0</v>
      </c>
      <c r="D16" s="8">
        <v>0.0</v>
      </c>
      <c r="E16" s="8">
        <v>0.0</v>
      </c>
      <c r="F16" s="8">
        <v>0.0</v>
      </c>
      <c r="G16" s="8">
        <v>0.0</v>
      </c>
      <c r="H16" s="9">
        <f t="shared" si="2"/>
        <v>2</v>
      </c>
      <c r="I16" s="8" t="s">
        <v>34</v>
      </c>
      <c r="L16" s="9">
        <f>SUM(H11:H16)</f>
        <v>24</v>
      </c>
    </row>
    <row r="17">
      <c r="A17" s="10"/>
      <c r="B17" s="11"/>
    </row>
    <row r="18">
      <c r="A18" s="3" t="s">
        <v>35</v>
      </c>
      <c r="B18" s="7" t="s">
        <v>36</v>
      </c>
      <c r="C18" s="8">
        <v>7.0</v>
      </c>
      <c r="D18" s="8">
        <v>0.0</v>
      </c>
      <c r="E18" s="8">
        <v>0.0</v>
      </c>
      <c r="F18" s="8">
        <v>0.0</v>
      </c>
      <c r="G18" s="8">
        <v>0.0</v>
      </c>
    </row>
    <row r="19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>
      <c r="E20" s="23"/>
      <c r="F20" s="23"/>
      <c r="G20" s="24" t="s">
        <v>37</v>
      </c>
      <c r="H20" s="25">
        <f>SUM(C7:G18)</f>
        <v>102</v>
      </c>
      <c r="I20" s="1"/>
      <c r="J20" s="1"/>
    </row>
    <row r="21">
      <c r="E21" s="23"/>
      <c r="F21" s="23"/>
      <c r="G21" s="24" t="s">
        <v>38</v>
      </c>
      <c r="H21" s="25">
        <f>H10</f>
        <v>20</v>
      </c>
      <c r="I21" s="26"/>
      <c r="J21" s="1"/>
    </row>
    <row r="22">
      <c r="E22" s="23"/>
      <c r="F22" s="23"/>
      <c r="G22" s="24" t="s">
        <v>39</v>
      </c>
      <c r="H22" s="25">
        <f>SUM(C7:G16)-H10</f>
        <v>75</v>
      </c>
      <c r="I22" s="26"/>
      <c r="J22" s="1"/>
    </row>
    <row r="23">
      <c r="G23" s="24" t="s">
        <v>40</v>
      </c>
      <c r="H23" s="25">
        <f>H20-H21</f>
        <v>82</v>
      </c>
      <c r="I23" s="26">
        <f>SUM(C11:G18,C7:G8)</f>
        <v>82</v>
      </c>
      <c r="J23" s="1"/>
    </row>
    <row r="24">
      <c r="H24" s="26"/>
      <c r="I24" s="26"/>
      <c r="J24" s="1"/>
    </row>
    <row r="25">
      <c r="H25" s="26"/>
      <c r="I25" s="26"/>
      <c r="J25" s="1"/>
    </row>
    <row r="26">
      <c r="C26" s="27" t="s">
        <v>41</v>
      </c>
      <c r="D26" s="28"/>
      <c r="E26" s="28"/>
      <c r="F26" s="28"/>
      <c r="G26" s="28"/>
      <c r="H26" s="26"/>
      <c r="I26" s="26"/>
      <c r="J26" s="1"/>
    </row>
    <row r="27">
      <c r="C27" s="29">
        <f t="shared" ref="C27:G27" si="3">SUM(C7:C8,C11:C18)</f>
        <v>80</v>
      </c>
      <c r="D27" s="29">
        <f t="shared" si="3"/>
        <v>2</v>
      </c>
      <c r="E27" s="29">
        <f t="shared" si="3"/>
        <v>0</v>
      </c>
      <c r="F27" s="29">
        <f t="shared" si="3"/>
        <v>0</v>
      </c>
      <c r="G27" s="29">
        <f t="shared" si="3"/>
        <v>0</v>
      </c>
      <c r="H27" s="26"/>
      <c r="I27" s="26"/>
      <c r="J27" s="1"/>
    </row>
    <row r="28">
      <c r="H28" s="26"/>
      <c r="I28" s="26"/>
      <c r="J28" s="1"/>
    </row>
    <row r="29">
      <c r="H29" s="26"/>
      <c r="I29" s="26"/>
      <c r="J29" s="1"/>
    </row>
    <row r="30">
      <c r="H30" s="26"/>
      <c r="I30" s="26"/>
      <c r="J30" s="1"/>
    </row>
    <row r="31" ht="16.5" customHeight="1"/>
    <row r="32">
      <c r="B32" s="1" t="s">
        <v>42</v>
      </c>
    </row>
    <row r="34">
      <c r="A34" s="30" t="s">
        <v>43</v>
      </c>
      <c r="B34" s="8" t="s">
        <v>44</v>
      </c>
    </row>
    <row r="35">
      <c r="B35" s="8" t="s">
        <v>45</v>
      </c>
    </row>
    <row r="37">
      <c r="A37" s="30" t="s">
        <v>46</v>
      </c>
      <c r="B37" s="8" t="s">
        <v>47</v>
      </c>
    </row>
    <row r="39">
      <c r="A39" s="30" t="s">
        <v>48</v>
      </c>
      <c r="B39" s="8" t="s">
        <v>49</v>
      </c>
    </row>
    <row r="41">
      <c r="A41" s="30" t="s">
        <v>50</v>
      </c>
      <c r="B41" s="8" t="s">
        <v>51</v>
      </c>
    </row>
    <row r="43">
      <c r="A43" s="30" t="s">
        <v>52</v>
      </c>
      <c r="B43" s="8" t="s">
        <v>53</v>
      </c>
    </row>
    <row r="45">
      <c r="A45" s="30" t="s">
        <v>54</v>
      </c>
      <c r="B45" s="8" t="s">
        <v>55</v>
      </c>
    </row>
    <row r="47">
      <c r="A47" s="30" t="s">
        <v>56</v>
      </c>
      <c r="B47" s="8" t="s">
        <v>57</v>
      </c>
    </row>
    <row r="49">
      <c r="A49" s="30" t="s">
        <v>58</v>
      </c>
      <c r="B49" s="8" t="s">
        <v>60</v>
      </c>
    </row>
    <row r="50">
      <c r="B50" s="8" t="s">
        <v>61</v>
      </c>
    </row>
    <row r="51">
      <c r="B51" s="8" t="s">
        <v>62</v>
      </c>
    </row>
    <row r="52">
      <c r="B52" s="8" t="s">
        <v>63</v>
      </c>
    </row>
    <row r="53">
      <c r="B53" s="8" t="s">
        <v>64</v>
      </c>
    </row>
    <row r="54">
      <c r="B54" s="8" t="s">
        <v>65</v>
      </c>
    </row>
    <row r="55">
      <c r="B55" s="8" t="s">
        <v>66</v>
      </c>
    </row>
  </sheetData>
  <hyperlinks>
    <hyperlink r:id="rId1" location="Fig7" ref="K12"/>
    <hyperlink r:id="rId2" ref="A34"/>
    <hyperlink r:id="rId3" ref="A37"/>
    <hyperlink r:id="rId4" ref="A39"/>
    <hyperlink r:id="rId5" ref="A41"/>
    <hyperlink r:id="rId6" ref="A43"/>
    <hyperlink r:id="rId7" location="d1e3172" ref="A45"/>
    <hyperlink r:id="rId8" ref="A47"/>
    <hyperlink r:id="rId9" ref="A49"/>
  </hyperlinks>
  <drawing r:id="rId10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5"/>
  </cols>
  <sheetData>
    <row r="1" ht="43.5" customHeight="1">
      <c r="A1" s="2"/>
      <c r="D1" s="4">
        <v>3.0</v>
      </c>
      <c r="E1" s="4">
        <v>2.0</v>
      </c>
      <c r="F1" s="4">
        <v>1.0</v>
      </c>
      <c r="H1" s="5" t="s">
        <v>2</v>
      </c>
    </row>
    <row r="2">
      <c r="A2" s="2"/>
      <c r="C2" s="1" t="s">
        <v>3</v>
      </c>
      <c r="D2" s="1" t="s">
        <v>4</v>
      </c>
      <c r="E2" s="1" t="s">
        <v>5</v>
      </c>
      <c r="F2" s="1" t="s">
        <v>6</v>
      </c>
      <c r="G2" s="1" t="s">
        <v>11</v>
      </c>
      <c r="H2" s="6" t="s">
        <v>10</v>
      </c>
    </row>
    <row r="3">
      <c r="A3" s="2"/>
    </row>
    <row r="4">
      <c r="A4" s="2"/>
      <c r="B4" s="3" t="s">
        <v>12</v>
      </c>
      <c r="C4" s="7" t="s">
        <v>13</v>
      </c>
      <c r="D4" s="8">
        <v>2.0</v>
      </c>
      <c r="E4" s="8">
        <v>46.0</v>
      </c>
      <c r="F4" s="8">
        <v>0.0</v>
      </c>
      <c r="G4" s="8">
        <f t="shared" ref="G4:G13" si="1">SUM(D4:F4)</f>
        <v>48</v>
      </c>
      <c r="H4" s="8" t="s">
        <v>14</v>
      </c>
    </row>
    <row r="5">
      <c r="A5" s="2"/>
      <c r="B5" s="3" t="s">
        <v>17</v>
      </c>
      <c r="C5" s="7" t="s">
        <v>16</v>
      </c>
      <c r="D5" s="8">
        <v>0.0</v>
      </c>
      <c r="E5" s="8">
        <v>1.0</v>
      </c>
      <c r="F5" s="8">
        <v>2.0</v>
      </c>
      <c r="G5" s="8">
        <f t="shared" si="1"/>
        <v>3</v>
      </c>
    </row>
    <row r="6">
      <c r="A6" s="2"/>
      <c r="B6" s="10"/>
      <c r="C6" s="11"/>
      <c r="G6" s="8">
        <f t="shared" si="1"/>
        <v>0</v>
      </c>
    </row>
    <row r="7">
      <c r="A7" s="12"/>
      <c r="B7" s="14" t="s">
        <v>18</v>
      </c>
      <c r="C7" s="16" t="s">
        <v>19</v>
      </c>
      <c r="D7" s="18">
        <v>0.0</v>
      </c>
      <c r="E7" s="18">
        <v>19.0</v>
      </c>
      <c r="F7" s="18">
        <v>1.0</v>
      </c>
      <c r="G7" s="8">
        <f t="shared" si="1"/>
        <v>20</v>
      </c>
      <c r="H7" s="18" t="s">
        <v>20</v>
      </c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</row>
    <row r="8">
      <c r="A8" s="2"/>
      <c r="B8" s="3" t="s">
        <v>21</v>
      </c>
      <c r="C8" s="7" t="s">
        <v>22</v>
      </c>
      <c r="D8" s="8">
        <v>1.0</v>
      </c>
      <c r="E8" s="8">
        <v>1.0</v>
      </c>
      <c r="F8" s="8">
        <v>1.0</v>
      </c>
      <c r="G8" s="8">
        <f t="shared" si="1"/>
        <v>3</v>
      </c>
      <c r="H8" s="8" t="s">
        <v>23</v>
      </c>
    </row>
    <row r="9">
      <c r="A9" s="2"/>
      <c r="B9" s="3" t="s">
        <v>15</v>
      </c>
      <c r="C9" s="7" t="s">
        <v>24</v>
      </c>
      <c r="D9" s="8">
        <v>3.0</v>
      </c>
      <c r="E9" s="8">
        <v>4.0</v>
      </c>
      <c r="F9" s="8">
        <v>0.0</v>
      </c>
      <c r="G9" s="8">
        <f t="shared" si="1"/>
        <v>7</v>
      </c>
      <c r="H9" s="8" t="s">
        <v>25</v>
      </c>
      <c r="J9" s="21" t="s">
        <v>26</v>
      </c>
    </row>
    <row r="10">
      <c r="A10" s="2"/>
      <c r="B10" s="10"/>
      <c r="C10" s="7" t="s">
        <v>27</v>
      </c>
      <c r="D10" s="8">
        <v>1.0</v>
      </c>
      <c r="E10" s="8">
        <v>1.0</v>
      </c>
      <c r="F10" s="8">
        <v>0.0</v>
      </c>
      <c r="G10" s="8">
        <f t="shared" si="1"/>
        <v>2</v>
      </c>
      <c r="H10" s="8" t="s">
        <v>28</v>
      </c>
    </row>
    <row r="11">
      <c r="A11" s="2"/>
      <c r="B11" s="10"/>
      <c r="C11" s="7" t="s">
        <v>29</v>
      </c>
      <c r="D11" s="8">
        <v>2.0</v>
      </c>
      <c r="E11" s="8">
        <v>1.0</v>
      </c>
      <c r="F11" s="8">
        <v>0.0</v>
      </c>
      <c r="G11" s="8">
        <f t="shared" si="1"/>
        <v>3</v>
      </c>
      <c r="H11" s="8" t="s">
        <v>32</v>
      </c>
    </row>
    <row r="12">
      <c r="A12" s="2"/>
      <c r="B12" s="10"/>
      <c r="C12" s="7" t="s">
        <v>31</v>
      </c>
      <c r="D12" s="8">
        <v>2.0</v>
      </c>
      <c r="E12" s="8">
        <v>4.0</v>
      </c>
      <c r="F12" s="8">
        <v>0.0</v>
      </c>
      <c r="G12" s="8">
        <f t="shared" si="1"/>
        <v>6</v>
      </c>
      <c r="H12" s="8" t="s">
        <v>32</v>
      </c>
    </row>
    <row r="13">
      <c r="A13" s="2"/>
      <c r="B13" s="10"/>
      <c r="C13" s="7" t="s">
        <v>33</v>
      </c>
      <c r="D13" s="8">
        <v>0.0</v>
      </c>
      <c r="E13" s="8">
        <v>2.0</v>
      </c>
      <c r="F13" s="8">
        <v>0.0</v>
      </c>
      <c r="G13" s="8">
        <f t="shared" si="1"/>
        <v>2</v>
      </c>
      <c r="H13" s="8" t="s">
        <v>34</v>
      </c>
    </row>
    <row r="14">
      <c r="A14" s="2"/>
      <c r="B14" s="10"/>
      <c r="C14" s="11"/>
    </row>
    <row r="15">
      <c r="A15" s="2"/>
      <c r="B15" s="3" t="s">
        <v>35</v>
      </c>
      <c r="C15" s="7" t="s">
        <v>36</v>
      </c>
      <c r="D15" s="8">
        <v>1.0</v>
      </c>
      <c r="E15" s="8">
        <v>5.0</v>
      </c>
      <c r="F15" s="8">
        <v>1.0</v>
      </c>
    </row>
    <row r="16">
      <c r="A16" s="2"/>
    </row>
    <row r="17">
      <c r="A17" s="2"/>
      <c r="D17" s="9">
        <f t="shared" ref="D17:F17" si="2">SUM(D4:D5,D8:D13,D15)</f>
        <v>12</v>
      </c>
      <c r="E17" s="9">
        <f t="shared" si="2"/>
        <v>65</v>
      </c>
      <c r="F17" s="9">
        <f t="shared" si="2"/>
        <v>4</v>
      </c>
      <c r="H17" s="26">
        <f>SUM(D17:F17)</f>
        <v>81</v>
      </c>
    </row>
    <row r="18">
      <c r="A18" s="2"/>
      <c r="D18" s="9">
        <f t="shared" ref="D18:F18" si="3">D17-D4</f>
        <v>10</v>
      </c>
      <c r="E18" s="9">
        <f t="shared" si="3"/>
        <v>19</v>
      </c>
      <c r="F18" s="9">
        <f t="shared" si="3"/>
        <v>4</v>
      </c>
    </row>
    <row r="19">
      <c r="A19" s="2"/>
    </row>
    <row r="20">
      <c r="A20" s="2"/>
      <c r="E20" s="23"/>
      <c r="F20" s="23"/>
      <c r="G20" s="24" t="s">
        <v>37</v>
      </c>
      <c r="H20" s="25">
        <f>SUM(D4:F15)</f>
        <v>101</v>
      </c>
    </row>
    <row r="21">
      <c r="A21" s="2"/>
      <c r="E21" s="23"/>
      <c r="F21" s="23"/>
      <c r="G21" s="24" t="s">
        <v>38</v>
      </c>
      <c r="H21" s="25">
        <f>SUM(D7:F7)</f>
        <v>20</v>
      </c>
    </row>
    <row r="22">
      <c r="A22" s="2"/>
      <c r="E22" s="23"/>
      <c r="F22" s="23"/>
      <c r="G22" s="24" t="s">
        <v>39</v>
      </c>
      <c r="H22" s="25">
        <f>SUM(D4:F5,D8:F13)</f>
        <v>74</v>
      </c>
    </row>
    <row r="23">
      <c r="A23" s="2"/>
      <c r="G23" s="24" t="s">
        <v>40</v>
      </c>
      <c r="H23" s="25">
        <f>SUM(D4:F15)-SUM(D7:F7)</f>
        <v>81</v>
      </c>
    </row>
    <row r="24">
      <c r="A24" s="2"/>
      <c r="H24" s="26"/>
    </row>
    <row r="25">
      <c r="A25" s="2"/>
      <c r="H25" s="26"/>
    </row>
    <row r="26">
      <c r="A26" s="2"/>
      <c r="C26" s="27" t="s">
        <v>41</v>
      </c>
      <c r="D26" s="28"/>
      <c r="E26" s="28"/>
      <c r="F26" s="28"/>
      <c r="G26" s="28"/>
      <c r="H26" s="26"/>
    </row>
    <row r="27">
      <c r="A27" s="2"/>
      <c r="C27" s="29"/>
      <c r="D27" s="29">
        <f t="shared" ref="D27:F27" si="4">SUM(D4:D5,D8:D15)</f>
        <v>12</v>
      </c>
      <c r="E27" s="29">
        <f t="shared" si="4"/>
        <v>65</v>
      </c>
      <c r="F27" s="29">
        <f t="shared" si="4"/>
        <v>4</v>
      </c>
      <c r="G27" s="29"/>
      <c r="H27" s="26"/>
    </row>
    <row r="28">
      <c r="A28" s="2"/>
    </row>
    <row r="29">
      <c r="A29" s="2"/>
      <c r="C29" s="27" t="s">
        <v>59</v>
      </c>
      <c r="D29" s="28"/>
      <c r="E29" s="28"/>
      <c r="F29" s="28"/>
      <c r="G29" s="28"/>
    </row>
    <row r="30">
      <c r="A30" s="2"/>
      <c r="C30" s="29"/>
      <c r="D30" s="29">
        <f t="shared" ref="D30:F30" si="5">SUM(D5,D8:D15)</f>
        <v>10</v>
      </c>
      <c r="E30" s="29">
        <f t="shared" si="5"/>
        <v>19</v>
      </c>
      <c r="F30" s="29">
        <f t="shared" si="5"/>
        <v>4</v>
      </c>
      <c r="G30" s="29"/>
    </row>
    <row r="31">
      <c r="A31" s="2"/>
    </row>
    <row r="32">
      <c r="A32" s="2"/>
    </row>
    <row r="33">
      <c r="A33" s="2"/>
    </row>
    <row r="34">
      <c r="A34" s="2"/>
    </row>
    <row r="35">
      <c r="A35" s="2"/>
    </row>
    <row r="36">
      <c r="A36" s="2"/>
    </row>
    <row r="37">
      <c r="A37" s="2"/>
    </row>
    <row r="38">
      <c r="A38" s="2"/>
    </row>
    <row r="39">
      <c r="A39" s="2"/>
    </row>
    <row r="40">
      <c r="A40" s="2"/>
    </row>
    <row r="41">
      <c r="A41" s="2"/>
    </row>
    <row r="42">
      <c r="A42" s="2"/>
    </row>
    <row r="43">
      <c r="A43" s="2"/>
    </row>
    <row r="44">
      <c r="A44" s="2"/>
    </row>
    <row r="45">
      <c r="A45" s="2"/>
    </row>
    <row r="46">
      <c r="A46" s="2"/>
    </row>
    <row r="47">
      <c r="A47" s="2"/>
    </row>
    <row r="48">
      <c r="A48" s="2"/>
    </row>
    <row r="49">
      <c r="A49" s="2"/>
    </row>
    <row r="50">
      <c r="A50" s="2"/>
    </row>
    <row r="51">
      <c r="A51" s="2"/>
    </row>
    <row r="52">
      <c r="A52" s="2"/>
    </row>
    <row r="53">
      <c r="A53" s="2"/>
    </row>
    <row r="54">
      <c r="A54" s="2"/>
    </row>
    <row r="55">
      <c r="A55" s="2"/>
    </row>
    <row r="56">
      <c r="A56" s="2"/>
    </row>
    <row r="57">
      <c r="A57" s="2"/>
    </row>
    <row r="58">
      <c r="A58" s="2"/>
    </row>
    <row r="59">
      <c r="A59" s="2"/>
    </row>
    <row r="60">
      <c r="A60" s="2"/>
    </row>
    <row r="61">
      <c r="A61" s="2"/>
    </row>
    <row r="62">
      <c r="A62" s="2"/>
    </row>
    <row r="63">
      <c r="A63" s="2"/>
    </row>
    <row r="64">
      <c r="A64" s="2"/>
    </row>
    <row r="65">
      <c r="A65" s="2"/>
    </row>
    <row r="66">
      <c r="A66" s="2"/>
    </row>
    <row r="67">
      <c r="A67" s="2"/>
    </row>
    <row r="68">
      <c r="A68" s="2"/>
    </row>
  </sheetData>
  <hyperlinks>
    <hyperlink r:id="rId1" location="Fig7" ref="J9"/>
  </hyperlinks>
  <drawing r:id="rId2"/>
</worksheet>
</file>